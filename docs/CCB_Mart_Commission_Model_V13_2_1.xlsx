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/>
  <mc:AlternateContent xmlns:mc="http://schemas.openxmlformats.org/markup-compatibility/2006">
    <mc:Choice Requires="x15">
      <x15ac:absPath xmlns:x15ac="http://schemas.microsoft.com/office/spreadsheetml/2010/11/ac" url="/Users/mooncat/Library/CloudStorage/GoogleDrive-willy.nguyenqm@gmail.com/My Drive/ASTAR/41. E29/CCB Mart/"/>
    </mc:Choice>
  </mc:AlternateContent>
  <xr:revisionPtr revIDLastSave="0" documentId="13_ncr:1_{CACE2BD2-52E9-5943-B0FE-808E83FA1036}" xr6:coauthVersionLast="47" xr6:coauthVersionMax="47" xr10:uidLastSave="{00000000-0000-0000-0000-000000000000}"/>
  <bookViews>
    <workbookView xWindow="0" yWindow="600" windowWidth="68800" windowHeight="26400" tabRatio="500" activeTab="6" xr2:uid="{00000000-000D-0000-FFFF-FFFF00000000}"/>
  </bookViews>
  <sheets>
    <sheet name="Tóm tắt 3 kịch bản" sheetId="1" r:id="rId1"/>
    <sheet name="Chi tiết CTV" sheetId="2" r:id="rId2"/>
    <sheet name="Chi tiết PP" sheetId="3" r:id="rId3"/>
    <sheet name="Chi tiết TP" sheetId="4" r:id="rId4"/>
    <sheet name="Chi tiết GĐV" sheetId="5" r:id="rId5"/>
    <sheet name="Chi tiết GĐKD" sheetId="6" r:id="rId6"/>
    <sheet name="3 Mô hình cây" sheetId="7" r:id="rId7"/>
    <sheet name="Công thức V13.2.1" sheetId="8" r:id="rId8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3" i="7" l="1"/>
  <c r="E12" i="7"/>
  <c r="D12" i="7"/>
  <c r="D13" i="7" s="1"/>
  <c r="C12" i="7"/>
  <c r="C13" i="7" s="1"/>
  <c r="E11" i="7"/>
  <c r="D11" i="7"/>
  <c r="C11" i="7"/>
  <c r="F16" i="6"/>
  <c r="E16" i="6"/>
  <c r="D16" i="6"/>
  <c r="F15" i="6"/>
  <c r="E15" i="6"/>
  <c r="D15" i="6"/>
  <c r="F14" i="6"/>
  <c r="E14" i="6"/>
  <c r="D14" i="6"/>
  <c r="F10" i="6"/>
  <c r="F12" i="6" s="1"/>
  <c r="F22" i="6" s="1"/>
  <c r="F13" i="1" s="1"/>
  <c r="F22" i="1" s="1"/>
  <c r="E10" i="6"/>
  <c r="E12" i="6" s="1"/>
  <c r="E22" i="6" s="1"/>
  <c r="E13" i="1" s="1"/>
  <c r="E22" i="1" s="1"/>
  <c r="D10" i="6"/>
  <c r="D12" i="6" s="1"/>
  <c r="D22" i="6" s="1"/>
  <c r="D13" i="1" s="1"/>
  <c r="D22" i="1" s="1"/>
  <c r="D19" i="5"/>
  <c r="D12" i="1" s="1"/>
  <c r="D21" i="1" s="1"/>
  <c r="F14" i="5"/>
  <c r="E14" i="5"/>
  <c r="D14" i="5"/>
  <c r="F13" i="5"/>
  <c r="E13" i="5"/>
  <c r="D13" i="5"/>
  <c r="D11" i="5"/>
  <c r="F9" i="5"/>
  <c r="F11" i="5" s="1"/>
  <c r="F19" i="5" s="1"/>
  <c r="F12" i="1" s="1"/>
  <c r="F21" i="1" s="1"/>
  <c r="E9" i="5"/>
  <c r="E11" i="5" s="1"/>
  <c r="E19" i="5" s="1"/>
  <c r="E12" i="1" s="1"/>
  <c r="E21" i="1" s="1"/>
  <c r="D9" i="5"/>
  <c r="F14" i="4"/>
  <c r="E14" i="4"/>
  <c r="D14" i="4"/>
  <c r="F13" i="4"/>
  <c r="E13" i="4"/>
  <c r="D13" i="4"/>
  <c r="F9" i="4"/>
  <c r="F11" i="4" s="1"/>
  <c r="F18" i="4" s="1"/>
  <c r="F11" i="1" s="1"/>
  <c r="F20" i="1" s="1"/>
  <c r="E9" i="4"/>
  <c r="E11" i="4" s="1"/>
  <c r="E18" i="4" s="1"/>
  <c r="E11" i="1" s="1"/>
  <c r="E20" i="1" s="1"/>
  <c r="D9" i="4"/>
  <c r="D11" i="4" s="1"/>
  <c r="F14" i="3"/>
  <c r="F8" i="3"/>
  <c r="F6" i="3"/>
  <c r="E6" i="3"/>
  <c r="E8" i="3" s="1"/>
  <c r="E14" i="3" s="1"/>
  <c r="E10" i="1" s="1"/>
  <c r="E19" i="1" s="1"/>
  <c r="D6" i="3"/>
  <c r="D8" i="3" s="1"/>
  <c r="D14" i="3" s="1"/>
  <c r="D10" i="1" s="1"/>
  <c r="D19" i="1" s="1"/>
  <c r="F7" i="2"/>
  <c r="F11" i="2" s="1"/>
  <c r="F9" i="1" s="1"/>
  <c r="F18" i="1" s="1"/>
  <c r="F6" i="2"/>
  <c r="E6" i="2"/>
  <c r="E7" i="2" s="1"/>
  <c r="E11" i="2" s="1"/>
  <c r="E9" i="1" s="1"/>
  <c r="E18" i="1" s="1"/>
  <c r="D6" i="2"/>
  <c r="D7" i="2" s="1"/>
  <c r="D11" i="2" s="1"/>
  <c r="D9" i="1" s="1"/>
  <c r="D18" i="1" s="1"/>
  <c r="F10" i="1"/>
  <c r="F19" i="1" s="1"/>
  <c r="D18" i="4" l="1"/>
  <c r="D11" i="1" s="1"/>
  <c r="D20" i="1" s="1"/>
</calcChain>
</file>

<file path=xl/sharedStrings.xml><?xml version="1.0" encoding="utf-8"?>
<sst xmlns="http://schemas.openxmlformats.org/spreadsheetml/2006/main" count="276" uniqueCount="187">
  <si>
    <t>CCB MART — BẢNG LƯƠNG HOA HỒNG KÊNH CTV (V13.2.1)</t>
  </si>
  <si>
    <t>Dành cho Giám đốc Kinh doanh mảng CTV — Đơn vị: VNĐ/tháng</t>
  </si>
  <si>
    <t>Tham số chung</t>
  </si>
  <si>
    <t>Giá combo (VNĐ)</t>
  </si>
  <si>
    <t>THU NHẬP/THÁNG THEO VAI TRÒ &amp; KỊCH BẢN</t>
  </si>
  <si>
    <t>Vai trò</t>
  </si>
  <si>
    <t>HH %</t>
  </si>
  <si>
    <t>Tối thiểu</t>
  </si>
  <si>
    <t>Tiêu chuẩn</t>
  </si>
  <si>
    <t>Mạnh mẽ</t>
  </si>
  <si>
    <t>Ghi chú chính</t>
  </si>
  <si>
    <t>CTV</t>
  </si>
  <si>
    <t>20%</t>
  </si>
  <si>
    <t>HH bán cá nhân. Không thù lao, không F.</t>
  </si>
  <si>
    <t>PP</t>
  </si>
  <si>
    <t>HH + Thù lao 5tr. KHÔNG nhận F1/F2/F3.</t>
  </si>
  <si>
    <t>TP</t>
  </si>
  <si>
    <t>30%</t>
  </si>
  <si>
    <t>HH + 10tr + F1 (10% PPs) + F2 (5% CTVs qua PP không tính). F3=0.</t>
  </si>
  <si>
    <t>GĐV</t>
  </si>
  <si>
    <t>35%</t>
  </si>
  <si>
    <t>HH + 18tr + F1 (TP) + F2 (PP qua TP). F3=0.</t>
  </si>
  <si>
    <t>GĐKD</t>
  </si>
  <si>
    <t>38%</t>
  </si>
  <si>
    <t>HH + 30tr + F1 (GĐV) + F2 (TP) + F3 (PP qua TP).</t>
  </si>
  <si>
    <t>THU NHẬP/NĂM (× 12 tháng)</t>
  </si>
  <si>
    <t>CƠ CHẾ ĐIỀU TIẾT (Mục 7.8 Soft Salary / 7.9 Hệ số K)</t>
  </si>
  <si>
    <t>Điều kiện nhận đủ Thù lao + Phí QL nhóm: log 20h đào tạo/tháng có OTP xác nhận</t>
  </si>
  <si>
    <t>Nếu tổng quỹ thù lao &gt; 5% doanh thu kênh CTV → kích hoạt Soft Salary: giảm thù lao cố định, thay bằng thù lao theo hiệu suất nhóm</t>
  </si>
  <si>
    <t>Nếu F1+F2+F3 &gt; 18-20% doanh thu → áp Hệ số K (0.7-1.0) vào TẤT CẢ khoản chi</t>
  </si>
  <si>
    <t>CẤP 1 — CTV (Cộng tác viên)</t>
  </si>
  <si>
    <t>Quy định: HH 20% × doanh số cá nhân. KHÔNG thù lao. KHÔNG F1/F2/F3.</t>
  </si>
  <si>
    <t>Khoản</t>
  </si>
  <si>
    <t>Cách tính</t>
  </si>
  <si>
    <t>Ghi chú</t>
  </si>
  <si>
    <t>Combo bán cá nhân/tháng</t>
  </si>
  <si>
    <t>Input — sửa được</t>
  </si>
  <si>
    <t>Doanh thu cá nhân</t>
  </si>
  <si>
    <t>cb × 2tr</t>
  </si>
  <si>
    <t>HH bán lẻ (20%)</t>
  </si>
  <si>
    <t>20% × doanh thu</t>
  </si>
  <si>
    <t>Thù lao DV duy trì</t>
  </si>
  <si>
    <t>CTV không có</t>
  </si>
  <si>
    <t>F1/F2/F3</t>
  </si>
  <si>
    <t>CTV không có downline → không nhận F</t>
  </si>
  <si>
    <t>TỔNG THU NHẬP CTV/THÁNG</t>
  </si>
  <si>
    <t>CẤP 2 — PP (Phó phòng)</t>
  </si>
  <si>
    <t>Quy định: HH 20% + Thù lao 5tr. KHÔNG nhận F1/F2/F3 (PP không phải TP+).</t>
  </si>
  <si>
    <t>Input</t>
  </si>
  <si>
    <t>Duy trì KPI: ≥50cb/tháng</t>
  </si>
  <si>
    <t>Cố định 5.000.000đ</t>
  </si>
  <si>
    <t>PP không nhận (quy tắc 7.4 V13.2.1)</t>
  </si>
  <si>
    <t>TỔNG THU NHẬP PP/THÁNG</t>
  </si>
  <si>
    <t>CẤP 3 — TP (Trưởng phòng)</t>
  </si>
  <si>
    <t>Quy định: HH 30% + Thù lao 10tr + F1 (10% cấp 1) + F2 (5% cấp 2). KHÔNG nhận F3.</t>
  </si>
  <si>
    <t>Cấp 1: số PP trực thuộc × cb/PP</t>
  </si>
  <si>
    <t>VD tiêu chuẩn: 2 PP × 50cb = 100cb</t>
  </si>
  <si>
    <t>Cấp 2: CTV dưới PP × cb/CTV</t>
  </si>
  <si>
    <t>VD tiêu chuẩn: 4 CTV × 10cb = 40cb</t>
  </si>
  <si>
    <t>HH bán lẻ (30%)</t>
  </si>
  <si>
    <t>30% × doanh thu cá nhân</t>
  </si>
  <si>
    <t>Cố định 10.000.000đ</t>
  </si>
  <si>
    <t>F1 (10% × cấp 1)</t>
  </si>
  <si>
    <t>10% × (cb PP) × giá</t>
  </si>
  <si>
    <t>F2 (5% × cấp 2)</t>
  </si>
  <si>
    <t>5% × (cb CTV dưới PP) × giá</t>
  </si>
  <si>
    <t>F3</t>
  </si>
  <si>
    <t>TP không phải GĐKD → 0</t>
  </si>
  <si>
    <t>TỔNG THU NHẬP TP/THÁNG</t>
  </si>
  <si>
    <t>CẤP 4 — GĐV (Giám đốc Vùng)</t>
  </si>
  <si>
    <t>Quy định: HH 35% + Thù lao 18tr + F1 (TPs direct) + F2 (PPs qua TP). F3=0.</t>
  </si>
  <si>
    <t>Cấp 1: cb TPs direct</t>
  </si>
  <si>
    <t>VD tiêu chuẩn: 3 TP × 50cb = 150cb</t>
  </si>
  <si>
    <t>Cấp 2: cb PPs qua TP</t>
  </si>
  <si>
    <t>VD tiêu chuẩn: 3 PP × 50cb = 150cb</t>
  </si>
  <si>
    <t>HH bán lẻ (35%)</t>
  </si>
  <si>
    <t>35% × doanh thu cá nhân</t>
  </si>
  <si>
    <t>Cố định 18.000.000đ (V13.2.1)</t>
  </si>
  <si>
    <t>10% × cb TP direct × giá</t>
  </si>
  <si>
    <t>5% × cb PP qua TP × giá</t>
  </si>
  <si>
    <t>GĐV không phải GĐKD → 0</t>
  </si>
  <si>
    <t>TỔNG THU NHẬP GĐV/THÁNG</t>
  </si>
  <si>
    <t>CẤP 5 — GĐKD (Giám đốc Kinh doanh)</t>
  </si>
  <si>
    <t>Quy định: HH 38% + Thù lao 30tr + F1 (GĐV direct) + F2 (TP qua GĐV) + F3 (PP qua TP)</t>
  </si>
  <si>
    <t>Cấp 1: cb GĐV direct</t>
  </si>
  <si>
    <t>VD tiêu chuẩn: 4 GĐV × 50cb = 200cb</t>
  </si>
  <si>
    <t>Cấp 2: cb TP qua GĐV</t>
  </si>
  <si>
    <t>VD tiêu chuẩn: 8 TP × 50cb = 400cb</t>
  </si>
  <si>
    <t>Cấp 3: cb PP qua TP</t>
  </si>
  <si>
    <t>VD tiêu chuẩn: 16 PP × 50cb = 800cb</t>
  </si>
  <si>
    <t>HH bán lẻ (38%)</t>
  </si>
  <si>
    <t>38% × doanh thu cá nhân</t>
  </si>
  <si>
    <t>Cố định 30.000.000đ</t>
  </si>
  <si>
    <t>10% × cb GĐV × giá</t>
  </si>
  <si>
    <t>5% × cb TP × giá</t>
  </si>
  <si>
    <t>F3 (3% × cấp 3)</t>
  </si>
  <si>
    <t>3% × cb PP × giá</t>
  </si>
  <si>
    <t>TỔNG THU NHẬP GĐKD/THÁNG</t>
  </si>
  <si>
    <t>3 MÔ HÌNH CÂY ĐIỂN HÌNH — KÊNH CTV (V13.2.1)</t>
  </si>
  <si>
    <t>HEADCOUNT &amp; DOANH SỐ</t>
  </si>
  <si>
    <t>Vai trò / Chỉ tiêu</t>
  </si>
  <si>
    <t>Cấp cao nhất của tổ chức CTV</t>
  </si>
  <si>
    <t>Cấp 1 của GĐKD</t>
  </si>
  <si>
    <t>Cấp 2 của GĐKD</t>
  </si>
  <si>
    <t>Cấp 3 của GĐKD</t>
  </si>
  <si>
    <t>Cấp 4 — GĐKD KHÔNG nhận phí từ CTV</t>
  </si>
  <si>
    <t>Tổng headcount</t>
  </si>
  <si>
    <t>Doanh số hệ thống (combo/tháng)</t>
  </si>
  <si>
    <t>Doanh thu hệ thống (VNĐ)</t>
  </si>
  <si>
    <t>SƠ ĐỒ CÂY 3 KỊCH BẢN</t>
  </si>
  <si>
    <t>[1] TỐI THIỂU — Cây nhỏ, vừa đủ duy trì KPI</t>
  </si>
  <si>
    <t>GĐKD (50cb)</t>
  </si>
  <si>
    <t>├── GĐV-1 (50cb)</t>
  </si>
  <si>
    <t>│   ├── TP-1 (50cb)</t>
  </si>
  <si>
    <t>│   │   ├── PP-1 (50cb) ── 2 CTV × 10cb</t>
  </si>
  <si>
    <t>│   │   └── PP-2 (50cb) ── 2 CTV × 10cb</t>
  </si>
  <si>
    <t>│   └── TP-2 (50cb)</t>
  </si>
  <si>
    <t>│       ├── PP-3 (50cb) ── 2 CTV × 10cb</t>
  </si>
  <si>
    <t>│       └── PP-4 (50cb) ── 2 CTV × 10cb</t>
  </si>
  <si>
    <t>└── GĐV-2 (tương tự GĐV-1)</t>
  </si>
  <si>
    <t>1+2+4+8+16 = 31 người; dt ≈ 910cb × 2tr = 1,82 tỷ</t>
  </si>
  <si>
    <t>[2] TIÊU CHUẨN — Từ Mục 7.14 của doc</t>
  </si>
  <si>
    <t>├── GĐV-1..4 (4 × 50cb = 200cb cấp 1) — mỗi GĐV có 2 TP</t>
  </si>
  <si>
    <t>│   └── TP-1..8 (8 × 50cb = 400cb cấp 2) — mỗi TP có 2 PP</t>
  </si>
  <si>
    <t>│       └── PP-1..16 (16 × 50cb = 800cb cấp 3) — mỗi PP có 2 CTV</t>
  </si>
  <si>
    <t>│           └── CTV-1..32 (32 × 10cb = 320cb) — cấp 4, GĐKD không nhận</t>
  </si>
  <si>
    <t>1+4+8+16+32 = 61 người; dt ≈ 1770cb × 2tr = 3,54 tỷ</t>
  </si>
  <si>
    <t>[3] MẠNH MẼ — Team cao cấp, doanh số cao</t>
  </si>
  <si>
    <t>GĐKD (100cb — gấp đôi cá nhân)</t>
  </si>
  <si>
    <t>├── GĐV-1..6 (6 × 100cb = 600cb cấp 1) — mỗi GĐV có 2 TP</t>
  </si>
  <si>
    <t>│   └── TP-1..12 (12 × 100cb = 1200cb cấp 2) — mỗi TP có 2 PP</t>
  </si>
  <si>
    <t>│       └── PP-1..24 (24 × 100cb = 2400cb cấp 3) — mỗi PP có 2 CTV</t>
  </si>
  <si>
    <t>│           └── CTV-1..48 (48 × 30cb = 1440cb)</t>
  </si>
  <si>
    <t>1+6+12+24+48 = 91 người; dt ≈ 5740cb × 2tr = 11,48 tỷ</t>
  </si>
  <si>
    <t>CÔNG THỨC V13.2.1 — CHƯƠNG 7</t>
  </si>
  <si>
    <t>7.3. Bảng xếp hạng — HH &amp; Thù lao</t>
  </si>
  <si>
    <t>Xếp hạng</t>
  </si>
  <si>
    <t>% HH bán lẻ</t>
  </si>
  <si>
    <t>Thù lao/tháng</t>
  </si>
  <si>
    <t>ĐK duy trì</t>
  </si>
  <si>
    <t>Không bắt buộc doanh số</t>
  </si>
  <si>
    <t>Cá nhân, không phí gia nhập</t>
  </si>
  <si>
    <t>50 combo/tháng</t>
  </si>
  <si>
    <t>Hộ KD</t>
  </si>
  <si>
    <t>50cb + nhóm ≥150cb</t>
  </si>
  <si>
    <t>Duy trì ĐK, log 20h/tháng</t>
  </si>
  <si>
    <t>3 tháng → HĐLĐ</t>
  </si>
  <si>
    <t>HKD → HĐLĐ</t>
  </si>
  <si>
    <t>7.4. Phí quản lý nhóm (F1/F2/F3)</t>
  </si>
  <si>
    <t>Loại phí</t>
  </si>
  <si>
    <t>Người thụ hưởng</t>
  </si>
  <si>
    <t>Tỷ lệ</t>
  </si>
  <si>
    <t>Tính trên</t>
  </si>
  <si>
    <t>Điều kiện</t>
  </si>
  <si>
    <t>Cấp 1 (F1)</t>
  </si>
  <si>
    <t>Cấp trên trực tiếp (TP trở lên)</t>
  </si>
  <si>
    <t>Combo của cấp 1</t>
  </si>
  <si>
    <t>20h đào tạo/tháng + log hợp lệ</t>
  </si>
  <si>
    <t>Cấp 2 (F2)</t>
  </si>
  <si>
    <t>Cấp trên gián tiếp (GĐV trở lên)</t>
  </si>
  <si>
    <t>Combo của cấp 2</t>
  </si>
  <si>
    <t>Cấp 3 (F3)</t>
  </si>
  <si>
    <t>Cấp trên xa hơn (GĐKD)</t>
  </si>
  <si>
    <t>Combo của cấp 3</t>
  </si>
  <si>
    <t>Ma trận: Ai nhận F?</t>
  </si>
  <si>
    <t>HH?</t>
  </si>
  <si>
    <t>Thù lao?</t>
  </si>
  <si>
    <t>F1?</t>
  </si>
  <si>
    <t>F2?</t>
  </si>
  <si>
    <t>✓ 20%</t>
  </si>
  <si>
    <t>✗</t>
  </si>
  <si>
    <t>5tr</t>
  </si>
  <si>
    <t>✗ (không phải TP+)</t>
  </si>
  <si>
    <t>✓ 30%</t>
  </si>
  <si>
    <t>10tr</t>
  </si>
  <si>
    <t>✓ (từ PP direct)</t>
  </si>
  <si>
    <t>✓ (từ CTV qua PP)</t>
  </si>
  <si>
    <t>✓ 35%</t>
  </si>
  <si>
    <t>18tr</t>
  </si>
  <si>
    <t>✓ (từ TP direct)</t>
  </si>
  <si>
    <t>✓ (từ PP qua TP)</t>
  </si>
  <si>
    <t>✓ 38%</t>
  </si>
  <si>
    <t>30tr</t>
  </si>
  <si>
    <t>✓ (từ GĐV direct)</t>
  </si>
  <si>
    <t>✓ (từ TP qua GĐV)</t>
  </si>
  <si>
    <t>Ghi chú: F3 (3%) CHỈ chi cho GĐKD.</t>
  </si>
  <si>
    <t>Tối thiểu: 10cb, Tiêu chuẩn: 15cb, Mạnh: 30cb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</si>
</sst>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\-"/>
    <numFmt numFmtId="165" formatCode="0.0%;\(0.0%\);\-"/>
  </numFmts>
  <fonts count="11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10"/>
      <color rgb="FF7F7F7F"/>
      <name val="Arial"/>
      <charset val="1"/>
    </font>
    <font>
      <b/>
      <sz val="11"/>
      <color rgb="FF000000"/>
      <name val="Arial"/>
      <charset val="1"/>
    </font>
    <font>
      <sz val="11"/>
      <name val="Arial"/>
      <charset val="1"/>
    </font>
    <font>
      <sz val="11"/>
      <color rgb="FF0000FF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b/>
      <sz val="11"/>
      <color rgb="FF008000"/>
      <name val="Arial"/>
      <charset val="1"/>
    </font>
    <font>
      <sz val="11"/>
      <color rgb="FF000000"/>
      <name val="Arial"/>
      <charset val="1"/>
    </font>
    <font>
      <sz val="9"/>
      <name val="Courier New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1F4E78"/>
        <bgColor rgb="FF003366"/>
      </patternFill>
    </fill>
    <fill>
      <patternFill patternType="solid">
        <fgColor rgb="FFFCE4D6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0" fillId="0" borderId="0" xfId="0" applyFont="1" applyBorder="1" applyAlignment="1"/>
    <xf numFmtId="0" fontId="2" fillId="0" borderId="0" xfId="0" applyFont="1" applyBorder="1" applyAlignment="1"/>
    <xf numFmtId="0" fontId="4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Alignment="1"/>
    <xf numFmtId="0" fontId="4" fillId="0" borderId="1" xfId="0" applyFont="1" applyBorder="1" applyAlignment="1">
      <alignment horizontal="left" vertical="center" wrapText="1"/>
    </xf>
    <xf numFmtId="164" fontId="5" fillId="3" borderId="1" xfId="0" applyNumberFormat="1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/>
    </xf>
    <xf numFmtId="164" fontId="8" fillId="0" borderId="1" xfId="0" applyNumberFormat="1" applyFont="1" applyBorder="1" applyAlignment="1">
      <alignment horizontal="right" vertical="center"/>
    </xf>
    <xf numFmtId="164" fontId="9" fillId="0" borderId="1" xfId="0" applyNumberFormat="1" applyFont="1" applyBorder="1" applyAlignment="1">
      <alignment horizontal="right" vertical="center"/>
    </xf>
    <xf numFmtId="3" fontId="5" fillId="3" borderId="1" xfId="0" applyNumberFormat="1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left" vertical="center" wrapText="1"/>
    </xf>
    <xf numFmtId="164" fontId="7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7" fillId="5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opLeftCell="A7" zoomScale="193" zoomScaleNormal="193" workbookViewId="0">
      <selection activeCell="L17" sqref="L17"/>
    </sheetView>
  </sheetViews>
  <sheetFormatPr baseColWidth="10" defaultColWidth="8.6640625" defaultRowHeight="15" x14ac:dyDescent="0.2"/>
  <cols>
    <col min="1" max="1" width="4" style="7" customWidth="1"/>
    <col min="2" max="2" width="32" style="7" customWidth="1"/>
    <col min="3" max="3" width="14" style="7" customWidth="1"/>
    <col min="4" max="6" width="22" style="7" customWidth="1"/>
    <col min="7" max="7" width="32" style="7" customWidth="1"/>
  </cols>
  <sheetData>
    <row r="1" spans="1:7" ht="17.25" customHeight="1" x14ac:dyDescent="0.2">
      <c r="A1" s="6" t="s">
        <v>0</v>
      </c>
      <c r="B1" s="6"/>
      <c r="C1" s="6"/>
      <c r="D1" s="6"/>
      <c r="E1" s="6"/>
      <c r="F1" s="6"/>
      <c r="G1" s="6"/>
    </row>
    <row r="2" spans="1:7" ht="15" customHeight="1" x14ac:dyDescent="0.2">
      <c r="A2" s="5" t="s">
        <v>1</v>
      </c>
      <c r="B2" s="5"/>
      <c r="C2" s="5"/>
      <c r="D2" s="5"/>
      <c r="E2" s="5"/>
      <c r="F2" s="5"/>
      <c r="G2" s="5"/>
    </row>
    <row r="4" spans="1:7" ht="15" customHeight="1" x14ac:dyDescent="0.2">
      <c r="A4" s="4" t="s">
        <v>2</v>
      </c>
      <c r="B4" s="4"/>
      <c r="C4" s="4"/>
      <c r="D4" s="4"/>
      <c r="E4" s="4"/>
      <c r="F4" s="4"/>
      <c r="G4" s="4"/>
    </row>
    <row r="5" spans="1:7" ht="15" customHeight="1" x14ac:dyDescent="0.2">
      <c r="B5" s="8" t="s">
        <v>3</v>
      </c>
      <c r="C5" s="9">
        <v>2000000</v>
      </c>
    </row>
    <row r="7" spans="1:7" ht="15" customHeight="1" x14ac:dyDescent="0.2">
      <c r="A7" s="4" t="s">
        <v>4</v>
      </c>
      <c r="B7" s="4"/>
      <c r="C7" s="4"/>
      <c r="D7" s="4"/>
      <c r="E7" s="4"/>
      <c r="F7" s="4"/>
      <c r="G7" s="4"/>
    </row>
    <row r="8" spans="1:7" ht="15" customHeight="1" x14ac:dyDescent="0.2">
      <c r="A8" s="10"/>
      <c r="B8" s="10" t="s">
        <v>5</v>
      </c>
      <c r="C8" s="10" t="s">
        <v>6</v>
      </c>
      <c r="D8" s="10" t="s">
        <v>7</v>
      </c>
      <c r="E8" s="10" t="s">
        <v>8</v>
      </c>
      <c r="F8" s="10" t="s">
        <v>9</v>
      </c>
      <c r="G8" s="10" t="s">
        <v>10</v>
      </c>
    </row>
    <row r="9" spans="1:7" ht="26.25" customHeight="1" x14ac:dyDescent="0.2">
      <c r="B9" s="11" t="s">
        <v>11</v>
      </c>
      <c r="C9" s="12" t="s">
        <v>12</v>
      </c>
      <c r="D9" s="13">
        <f>'Chi tiết CTV'!D11</f>
        <v>4000000</v>
      </c>
      <c r="E9" s="13">
        <f>'Chi tiết CTV'!E11</f>
        <v>6000000</v>
      </c>
      <c r="F9" s="13">
        <f>'Chi tiết CTV'!F11</f>
        <v>12000000</v>
      </c>
      <c r="G9" s="8" t="s">
        <v>13</v>
      </c>
    </row>
    <row r="10" spans="1:7" ht="26.25" customHeight="1" x14ac:dyDescent="0.2">
      <c r="B10" s="11" t="s">
        <v>14</v>
      </c>
      <c r="C10" s="12" t="s">
        <v>12</v>
      </c>
      <c r="D10" s="13">
        <f>'Chi tiết PP'!D14</f>
        <v>25000000</v>
      </c>
      <c r="E10" s="13">
        <f>'Chi tiết PP'!E14</f>
        <v>29000000</v>
      </c>
      <c r="F10" s="13">
        <f>'Chi tiết PP'!F14</f>
        <v>45000000</v>
      </c>
      <c r="G10" s="8" t="s">
        <v>15</v>
      </c>
    </row>
    <row r="11" spans="1:7" ht="39" customHeight="1" x14ac:dyDescent="0.2">
      <c r="B11" s="11" t="s">
        <v>16</v>
      </c>
      <c r="C11" s="12" t="s">
        <v>17</v>
      </c>
      <c r="D11" s="13">
        <f>'Chi tiết TP'!D18</f>
        <v>57000000</v>
      </c>
      <c r="E11" s="13">
        <f>'Chi tiết TP'!E18</f>
        <v>70000000</v>
      </c>
      <c r="F11" s="13">
        <f>'Chi tiết TP'!F18</f>
        <v>118000000</v>
      </c>
      <c r="G11" s="8" t="s">
        <v>18</v>
      </c>
    </row>
    <row r="12" spans="1:7" ht="26.25" customHeight="1" x14ac:dyDescent="0.2">
      <c r="B12" s="11" t="s">
        <v>19</v>
      </c>
      <c r="C12" s="12" t="s">
        <v>20</v>
      </c>
      <c r="D12" s="13">
        <f>'Chi tiết GĐV'!D19</f>
        <v>83000000</v>
      </c>
      <c r="E12" s="13">
        <f>'Chi tiết GĐV'!E19</f>
        <v>105000000</v>
      </c>
      <c r="F12" s="13">
        <f>'Chi tiết GĐV'!F19</f>
        <v>178000000</v>
      </c>
      <c r="G12" s="8" t="s">
        <v>21</v>
      </c>
    </row>
    <row r="13" spans="1:7" ht="26.25" customHeight="1" x14ac:dyDescent="0.2">
      <c r="B13" s="11" t="s">
        <v>22</v>
      </c>
      <c r="C13" s="12" t="s">
        <v>23</v>
      </c>
      <c r="D13" s="13">
        <f>'Chi tiết GĐKD'!D22</f>
        <v>132000000</v>
      </c>
      <c r="E13" s="13">
        <f>'Chi tiết GĐKD'!E22</f>
        <v>203600000</v>
      </c>
      <c r="F13" s="13">
        <f>'Chi tiết GĐKD'!F22</f>
        <v>318000000</v>
      </c>
      <c r="G13" s="8" t="s">
        <v>24</v>
      </c>
    </row>
    <row r="16" spans="1:7" ht="15" customHeight="1" x14ac:dyDescent="0.2">
      <c r="A16" s="4" t="s">
        <v>25</v>
      </c>
      <c r="B16" s="4"/>
      <c r="C16" s="4"/>
      <c r="D16" s="4"/>
      <c r="E16" s="4"/>
      <c r="F16" s="4"/>
      <c r="G16" s="4"/>
    </row>
    <row r="17" spans="1:7" ht="15" customHeight="1" x14ac:dyDescent="0.2">
      <c r="A17" s="10"/>
      <c r="B17" s="10" t="s">
        <v>5</v>
      </c>
      <c r="C17" s="10"/>
      <c r="D17" s="10" t="s">
        <v>7</v>
      </c>
      <c r="E17" s="10" t="s">
        <v>8</v>
      </c>
      <c r="F17" s="10" t="s">
        <v>9</v>
      </c>
      <c r="G17" s="10"/>
    </row>
    <row r="18" spans="1:7" ht="15" customHeight="1" x14ac:dyDescent="0.2">
      <c r="B18" s="11" t="s">
        <v>11</v>
      </c>
      <c r="D18" s="14">
        <f t="shared" ref="D18:F22" si="0">D9*12</f>
        <v>48000000</v>
      </c>
      <c r="E18" s="14">
        <f t="shared" si="0"/>
        <v>72000000</v>
      </c>
      <c r="F18" s="14">
        <f t="shared" si="0"/>
        <v>144000000</v>
      </c>
    </row>
    <row r="19" spans="1:7" ht="15" customHeight="1" x14ac:dyDescent="0.2">
      <c r="B19" s="11" t="s">
        <v>14</v>
      </c>
      <c r="D19" s="14">
        <f t="shared" si="0"/>
        <v>300000000</v>
      </c>
      <c r="E19" s="14">
        <f t="shared" si="0"/>
        <v>348000000</v>
      </c>
      <c r="F19" s="14">
        <f t="shared" si="0"/>
        <v>540000000</v>
      </c>
    </row>
    <row r="20" spans="1:7" ht="15" customHeight="1" x14ac:dyDescent="0.2">
      <c r="B20" s="11" t="s">
        <v>16</v>
      </c>
      <c r="D20" s="14">
        <f t="shared" si="0"/>
        <v>684000000</v>
      </c>
      <c r="E20" s="14">
        <f t="shared" si="0"/>
        <v>840000000</v>
      </c>
      <c r="F20" s="14">
        <f t="shared" si="0"/>
        <v>1416000000</v>
      </c>
    </row>
    <row r="21" spans="1:7" ht="15" customHeight="1" x14ac:dyDescent="0.2">
      <c r="B21" s="11" t="s">
        <v>19</v>
      </c>
      <c r="D21" s="14">
        <f t="shared" si="0"/>
        <v>996000000</v>
      </c>
      <c r="E21" s="14">
        <f t="shared" si="0"/>
        <v>1260000000</v>
      </c>
      <c r="F21" s="14">
        <f t="shared" si="0"/>
        <v>2136000000</v>
      </c>
    </row>
    <row r="22" spans="1:7" ht="15" customHeight="1" x14ac:dyDescent="0.2">
      <c r="B22" s="11" t="s">
        <v>22</v>
      </c>
      <c r="D22" s="14">
        <f t="shared" si="0"/>
        <v>1584000000</v>
      </c>
      <c r="E22" s="14">
        <f t="shared" si="0"/>
        <v>2443200000</v>
      </c>
      <c r="F22" s="14">
        <f t="shared" si="0"/>
        <v>3816000000</v>
      </c>
    </row>
    <row r="25" spans="1:7" ht="15" customHeight="1" x14ac:dyDescent="0.2">
      <c r="A25" s="4" t="s">
        <v>26</v>
      </c>
      <c r="B25" s="4"/>
      <c r="C25" s="4"/>
      <c r="D25" s="4"/>
      <c r="E25" s="4"/>
      <c r="F25" s="4"/>
      <c r="G25" s="4"/>
    </row>
    <row r="26" spans="1:7" ht="15" customHeight="1" x14ac:dyDescent="0.2">
      <c r="B26" s="3" t="s">
        <v>27</v>
      </c>
      <c r="C26" s="3"/>
      <c r="D26" s="3"/>
      <c r="E26" s="3"/>
      <c r="F26" s="3"/>
      <c r="G26" s="3"/>
    </row>
    <row r="27" spans="1:7" ht="15" customHeight="1" x14ac:dyDescent="0.2">
      <c r="B27" s="3" t="s">
        <v>28</v>
      </c>
      <c r="C27" s="3"/>
      <c r="D27" s="3"/>
      <c r="E27" s="3"/>
      <c r="F27" s="3"/>
      <c r="G27" s="3"/>
    </row>
    <row r="28" spans="1:7" ht="15" customHeight="1" x14ac:dyDescent="0.2">
      <c r="B28" s="3" t="s">
        <v>29</v>
      </c>
      <c r="C28" s="3"/>
      <c r="D28" s="3"/>
      <c r="E28" s="3"/>
      <c r="F28" s="3"/>
      <c r="G28" s="3"/>
    </row>
  </sheetData>
  <mergeCells count="9">
    <mergeCell ref="A25:G25"/>
    <mergeCell ref="B26:G26"/>
    <mergeCell ref="B27:G27"/>
    <mergeCell ref="B28:G28"/>
    <mergeCell ref="A1:G1"/>
    <mergeCell ref="A2:G2"/>
    <mergeCell ref="A4:G4"/>
    <mergeCell ref="A7:G7"/>
    <mergeCell ref="A16:G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zoomScale="301" zoomScaleNormal="301" workbookViewId="0">
      <selection activeCell="G9" sqref="G9"/>
    </sheetView>
  </sheetViews>
  <sheetFormatPr baseColWidth="10" defaultColWidth="8.6640625" defaultRowHeight="15" x14ac:dyDescent="0.2"/>
  <cols>
    <col min="1" max="1" width="4" style="7" customWidth="1"/>
    <col min="2" max="2" width="34" style="7" customWidth="1"/>
    <col min="3" max="3" width="30" style="7" customWidth="1"/>
    <col min="4" max="6" width="18" style="7" customWidth="1"/>
    <col min="7" max="7" width="28" style="7" customWidth="1"/>
  </cols>
  <sheetData>
    <row r="1" spans="1:7" ht="17.25" customHeight="1" x14ac:dyDescent="0.2">
      <c r="A1" s="6" t="s">
        <v>30</v>
      </c>
      <c r="B1" s="6"/>
      <c r="C1" s="6"/>
      <c r="D1" s="6"/>
      <c r="E1" s="6"/>
      <c r="F1" s="6"/>
      <c r="G1" s="6"/>
    </row>
    <row r="2" spans="1:7" ht="15" customHeight="1" x14ac:dyDescent="0.2">
      <c r="A2" s="2" t="s">
        <v>31</v>
      </c>
      <c r="B2" s="2"/>
      <c r="C2" s="2"/>
      <c r="D2" s="2"/>
      <c r="E2" s="2"/>
      <c r="F2" s="2"/>
      <c r="G2" s="2"/>
    </row>
    <row r="4" spans="1:7" ht="15" customHeight="1" x14ac:dyDescent="0.2">
      <c r="A4" s="10"/>
      <c r="B4" s="10" t="s">
        <v>32</v>
      </c>
      <c r="C4" s="10" t="s">
        <v>33</v>
      </c>
      <c r="D4" s="10" t="s">
        <v>7</v>
      </c>
      <c r="E4" s="10" t="s">
        <v>8</v>
      </c>
      <c r="F4" s="10" t="s">
        <v>9</v>
      </c>
      <c r="G4" s="10" t="s">
        <v>34</v>
      </c>
    </row>
    <row r="5" spans="1:7" ht="26.25" customHeight="1" x14ac:dyDescent="0.2">
      <c r="B5" s="8" t="s">
        <v>35</v>
      </c>
      <c r="C5" s="8" t="s">
        <v>36</v>
      </c>
      <c r="D5" s="15">
        <v>10</v>
      </c>
      <c r="E5" s="15">
        <v>15</v>
      </c>
      <c r="F5" s="15">
        <v>30</v>
      </c>
      <c r="G5" s="8" t="s">
        <v>186</v>
      </c>
    </row>
    <row r="6" spans="1:7" ht="15" customHeight="1" x14ac:dyDescent="0.2">
      <c r="B6" s="8" t="s">
        <v>37</v>
      </c>
      <c r="C6" s="8" t="s">
        <v>38</v>
      </c>
      <c r="D6" s="14">
        <f>D5*'Tóm tắt 3 kịch bản'!$C$5</f>
        <v>20000000</v>
      </c>
      <c r="E6" s="14">
        <f>E5*'Tóm tắt 3 kịch bản'!$C$5</f>
        <v>30000000</v>
      </c>
      <c r="F6" s="14">
        <f>F5*'Tóm tắt 3 kịch bản'!$C$5</f>
        <v>60000000</v>
      </c>
    </row>
    <row r="7" spans="1:7" ht="15" customHeight="1" x14ac:dyDescent="0.2">
      <c r="B7" s="11" t="s">
        <v>39</v>
      </c>
      <c r="C7" s="8" t="s">
        <v>40</v>
      </c>
      <c r="D7" s="14">
        <f>0.2*D6</f>
        <v>4000000</v>
      </c>
      <c r="E7" s="14">
        <f>0.2*E6</f>
        <v>6000000</v>
      </c>
      <c r="F7" s="14">
        <f>0.2*F6</f>
        <v>12000000</v>
      </c>
    </row>
    <row r="8" spans="1:7" ht="15" customHeight="1" x14ac:dyDescent="0.2">
      <c r="B8" s="8" t="s">
        <v>41</v>
      </c>
      <c r="C8" s="8" t="s">
        <v>42</v>
      </c>
      <c r="D8" s="14">
        <v>0</v>
      </c>
      <c r="E8" s="14">
        <v>0</v>
      </c>
      <c r="F8" s="14">
        <v>0</v>
      </c>
    </row>
    <row r="9" spans="1:7" ht="26.25" customHeight="1" x14ac:dyDescent="0.2">
      <c r="B9" s="8" t="s">
        <v>43</v>
      </c>
      <c r="C9" s="8" t="s">
        <v>44</v>
      </c>
      <c r="D9" s="14">
        <v>0</v>
      </c>
      <c r="E9" s="14">
        <v>0</v>
      </c>
      <c r="F9" s="14">
        <v>0</v>
      </c>
    </row>
    <row r="11" spans="1:7" ht="15" customHeight="1" x14ac:dyDescent="0.2">
      <c r="B11" s="16" t="s">
        <v>45</v>
      </c>
      <c r="D11" s="17">
        <f>SUM(D7:D9)</f>
        <v>4000000</v>
      </c>
      <c r="E11" s="17">
        <f>SUM(E7:E9)</f>
        <v>6000000</v>
      </c>
      <c r="F11" s="17">
        <f>SUM(F7:F9)</f>
        <v>12000000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"/>
  <sheetViews>
    <sheetView zoomScale="275" zoomScaleNormal="275" workbookViewId="0">
      <selection activeCell="E6" sqref="E6"/>
    </sheetView>
  </sheetViews>
  <sheetFormatPr baseColWidth="10" defaultColWidth="8.6640625" defaultRowHeight="15" x14ac:dyDescent="0.2"/>
  <cols>
    <col min="1" max="1" width="4" style="7" customWidth="1"/>
    <col min="2" max="2" width="34" style="7" customWidth="1"/>
    <col min="3" max="3" width="30" style="7" customWidth="1"/>
    <col min="4" max="6" width="18" style="7" customWidth="1"/>
    <col min="7" max="7" width="28" style="7" customWidth="1"/>
  </cols>
  <sheetData>
    <row r="1" spans="1:7" ht="17.25" customHeight="1" x14ac:dyDescent="0.2">
      <c r="A1" s="6" t="s">
        <v>46</v>
      </c>
      <c r="B1" s="6"/>
      <c r="C1" s="6"/>
      <c r="D1" s="6"/>
      <c r="E1" s="6"/>
      <c r="F1" s="6"/>
      <c r="G1" s="6"/>
    </row>
    <row r="2" spans="1:7" ht="15" customHeight="1" x14ac:dyDescent="0.2">
      <c r="A2" s="2" t="s">
        <v>47</v>
      </c>
      <c r="B2" s="2"/>
      <c r="C2" s="2"/>
      <c r="D2" s="2"/>
      <c r="E2" s="2"/>
      <c r="F2" s="2"/>
      <c r="G2" s="2"/>
    </row>
    <row r="4" spans="1:7" ht="15" customHeight="1" x14ac:dyDescent="0.2">
      <c r="A4" s="10"/>
      <c r="B4" s="10" t="s">
        <v>32</v>
      </c>
      <c r="C4" s="10" t="s">
        <v>33</v>
      </c>
      <c r="D4" s="10" t="s">
        <v>7</v>
      </c>
      <c r="E4" s="10" t="s">
        <v>8</v>
      </c>
      <c r="F4" s="10" t="s">
        <v>9</v>
      </c>
      <c r="G4" s="10" t="s">
        <v>34</v>
      </c>
    </row>
    <row r="5" spans="1:7" ht="15" customHeight="1" x14ac:dyDescent="0.2">
      <c r="B5" s="8" t="s">
        <v>35</v>
      </c>
      <c r="C5" s="8" t="s">
        <v>48</v>
      </c>
      <c r="D5" s="15">
        <v>50</v>
      </c>
      <c r="E5" s="15">
        <v>60</v>
      </c>
      <c r="F5" s="15">
        <v>100</v>
      </c>
      <c r="G5" s="8" t="s">
        <v>49</v>
      </c>
    </row>
    <row r="6" spans="1:7" ht="15" customHeight="1" x14ac:dyDescent="0.2">
      <c r="B6" s="8" t="s">
        <v>37</v>
      </c>
      <c r="C6" s="8" t="s">
        <v>38</v>
      </c>
      <c r="D6" s="14">
        <f>D5*'Tóm tắt 3 kịch bản'!$C$5</f>
        <v>100000000</v>
      </c>
      <c r="E6" s="14">
        <f>E5*'Tóm tắt 3 kịch bản'!$C$5</f>
        <v>120000000</v>
      </c>
      <c r="F6" s="14">
        <f>F5*'Tóm tắt 3 kịch bản'!$C$5</f>
        <v>200000000</v>
      </c>
    </row>
    <row r="8" spans="1:7" ht="15" customHeight="1" x14ac:dyDescent="0.2">
      <c r="B8" s="11" t="s">
        <v>39</v>
      </c>
      <c r="C8" s="8" t="s">
        <v>40</v>
      </c>
      <c r="D8" s="14">
        <f>0.2*D6</f>
        <v>20000000</v>
      </c>
      <c r="E8" s="14">
        <f>0.2*E6</f>
        <v>24000000</v>
      </c>
      <c r="F8" s="14">
        <f>0.2*F6</f>
        <v>40000000</v>
      </c>
    </row>
    <row r="9" spans="1:7" ht="15" customHeight="1" x14ac:dyDescent="0.2">
      <c r="B9" s="11" t="s">
        <v>41</v>
      </c>
      <c r="C9" s="8" t="s">
        <v>50</v>
      </c>
      <c r="D9" s="14">
        <v>5000000</v>
      </c>
      <c r="E9" s="14">
        <v>5000000</v>
      </c>
      <c r="F9" s="14">
        <v>5000000</v>
      </c>
    </row>
    <row r="10" spans="1:7" ht="26.25" customHeight="1" x14ac:dyDescent="0.2">
      <c r="B10" s="8" t="s">
        <v>43</v>
      </c>
      <c r="C10" s="8" t="s">
        <v>51</v>
      </c>
      <c r="D10" s="14">
        <v>0</v>
      </c>
      <c r="E10" s="14">
        <v>0</v>
      </c>
      <c r="F10" s="14">
        <v>0</v>
      </c>
    </row>
    <row r="14" spans="1:7" ht="15" customHeight="1" x14ac:dyDescent="0.2">
      <c r="B14" s="16" t="s">
        <v>52</v>
      </c>
      <c r="D14" s="17">
        <f>D8+D9+D10</f>
        <v>25000000</v>
      </c>
      <c r="E14" s="17">
        <f>E8+E9+E10</f>
        <v>29000000</v>
      </c>
      <c r="F14" s="17">
        <f>F8+F9+F10</f>
        <v>45000000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"/>
  <sheetViews>
    <sheetView zoomScale="261" zoomScaleNormal="261" workbookViewId="0">
      <selection activeCell="E6" sqref="E6"/>
    </sheetView>
  </sheetViews>
  <sheetFormatPr baseColWidth="10" defaultColWidth="8.6640625" defaultRowHeight="15" x14ac:dyDescent="0.2"/>
  <cols>
    <col min="1" max="1" width="4" style="7" customWidth="1"/>
    <col min="2" max="3" width="34" style="7" customWidth="1"/>
    <col min="4" max="6" width="18" style="7" customWidth="1"/>
    <col min="7" max="7" width="28" style="7" customWidth="1"/>
  </cols>
  <sheetData>
    <row r="1" spans="1:7" ht="17.25" customHeight="1" x14ac:dyDescent="0.2">
      <c r="A1" s="6" t="s">
        <v>53</v>
      </c>
      <c r="B1" s="6"/>
      <c r="C1" s="6"/>
      <c r="D1" s="6"/>
      <c r="E1" s="6"/>
      <c r="F1" s="6"/>
      <c r="G1" s="6"/>
    </row>
    <row r="2" spans="1:7" ht="15" customHeight="1" x14ac:dyDescent="0.2">
      <c r="A2" s="2" t="s">
        <v>54</v>
      </c>
      <c r="B2" s="2"/>
      <c r="C2" s="2"/>
      <c r="D2" s="2"/>
      <c r="E2" s="2"/>
      <c r="F2" s="2"/>
      <c r="G2" s="2"/>
    </row>
    <row r="4" spans="1:7" ht="15" customHeight="1" x14ac:dyDescent="0.2">
      <c r="A4" s="10"/>
      <c r="B4" s="10" t="s">
        <v>32</v>
      </c>
      <c r="C4" s="10" t="s">
        <v>33</v>
      </c>
      <c r="D4" s="10" t="s">
        <v>7</v>
      </c>
      <c r="E4" s="10" t="s">
        <v>8</v>
      </c>
      <c r="F4" s="10" t="s">
        <v>9</v>
      </c>
      <c r="G4" s="10" t="s">
        <v>34</v>
      </c>
    </row>
    <row r="5" spans="1:7" ht="15" customHeight="1" x14ac:dyDescent="0.2">
      <c r="B5" s="8" t="s">
        <v>35</v>
      </c>
      <c r="D5" s="15">
        <v>50</v>
      </c>
      <c r="E5" s="15">
        <v>60</v>
      </c>
      <c r="F5" s="15">
        <v>100</v>
      </c>
    </row>
    <row r="6" spans="1:7" ht="26.25" customHeight="1" x14ac:dyDescent="0.2">
      <c r="B6" s="8" t="s">
        <v>55</v>
      </c>
      <c r="D6" s="15">
        <v>75</v>
      </c>
      <c r="E6" s="15">
        <v>100</v>
      </c>
      <c r="F6" s="15">
        <v>200</v>
      </c>
      <c r="G6" s="8" t="s">
        <v>56</v>
      </c>
    </row>
    <row r="7" spans="1:7" ht="26.25" customHeight="1" x14ac:dyDescent="0.2">
      <c r="B7" s="8" t="s">
        <v>57</v>
      </c>
      <c r="D7" s="15">
        <v>20</v>
      </c>
      <c r="E7" s="15">
        <v>40</v>
      </c>
      <c r="F7" s="15">
        <v>80</v>
      </c>
      <c r="G7" s="8" t="s">
        <v>58</v>
      </c>
    </row>
    <row r="9" spans="1:7" ht="15" customHeight="1" x14ac:dyDescent="0.2">
      <c r="B9" s="8" t="s">
        <v>37</v>
      </c>
      <c r="C9" s="8" t="s">
        <v>38</v>
      </c>
      <c r="D9" s="14">
        <f>D5*'Tóm tắt 3 kịch bản'!$C$5</f>
        <v>100000000</v>
      </c>
      <c r="E9" s="14">
        <f>E5*'Tóm tắt 3 kịch bản'!$C$5</f>
        <v>120000000</v>
      </c>
      <c r="F9" s="14">
        <f>F5*'Tóm tắt 3 kịch bản'!$C$5</f>
        <v>200000000</v>
      </c>
    </row>
    <row r="11" spans="1:7" ht="15" customHeight="1" x14ac:dyDescent="0.2">
      <c r="B11" s="11" t="s">
        <v>59</v>
      </c>
      <c r="C11" s="8" t="s">
        <v>60</v>
      </c>
      <c r="D11" s="14">
        <f>0.3*D9</f>
        <v>30000000</v>
      </c>
      <c r="E11" s="14">
        <f>0.3*E9</f>
        <v>36000000</v>
      </c>
      <c r="F11" s="14">
        <f>0.3*F9</f>
        <v>60000000</v>
      </c>
    </row>
    <row r="12" spans="1:7" ht="15" customHeight="1" x14ac:dyDescent="0.2">
      <c r="B12" s="11" t="s">
        <v>41</v>
      </c>
      <c r="C12" s="8" t="s">
        <v>61</v>
      </c>
      <c r="D12" s="14">
        <v>10000000</v>
      </c>
      <c r="E12" s="14">
        <v>10000000</v>
      </c>
      <c r="F12" s="14">
        <v>10000000</v>
      </c>
    </row>
    <row r="13" spans="1:7" ht="15" customHeight="1" x14ac:dyDescent="0.2">
      <c r="B13" s="11" t="s">
        <v>62</v>
      </c>
      <c r="C13" s="8" t="s">
        <v>63</v>
      </c>
      <c r="D13" s="14">
        <f>0.1*D6*'Tóm tắt 3 kịch bản'!$C$5</f>
        <v>15000000</v>
      </c>
      <c r="E13" s="14">
        <f>0.1*E6*'Tóm tắt 3 kịch bản'!$C$5</f>
        <v>20000000</v>
      </c>
      <c r="F13" s="14">
        <f>0.1*F6*'Tóm tắt 3 kịch bản'!$C$5</f>
        <v>40000000</v>
      </c>
    </row>
    <row r="14" spans="1:7" ht="15" customHeight="1" x14ac:dyDescent="0.2">
      <c r="B14" s="11" t="s">
        <v>64</v>
      </c>
      <c r="C14" s="8" t="s">
        <v>65</v>
      </c>
      <c r="D14" s="14">
        <f>0.05*D7*'Tóm tắt 3 kịch bản'!$C$5</f>
        <v>2000000</v>
      </c>
      <c r="E14" s="14">
        <f>0.05*E7*'Tóm tắt 3 kịch bản'!$C$5</f>
        <v>4000000</v>
      </c>
      <c r="F14" s="14">
        <f>0.05*F7*'Tóm tắt 3 kịch bản'!$C$5</f>
        <v>8000000</v>
      </c>
    </row>
    <row r="15" spans="1:7" ht="15" customHeight="1" x14ac:dyDescent="0.2">
      <c r="B15" s="8" t="s">
        <v>66</v>
      </c>
      <c r="C15" s="8" t="s">
        <v>67</v>
      </c>
      <c r="D15" s="14">
        <v>0</v>
      </c>
      <c r="E15" s="14">
        <v>0</v>
      </c>
      <c r="F15" s="14">
        <v>0</v>
      </c>
    </row>
    <row r="18" spans="2:6" ht="15" customHeight="1" x14ac:dyDescent="0.2">
      <c r="B18" s="16" t="s">
        <v>68</v>
      </c>
      <c r="D18" s="17">
        <f>SUM(D11:D15)</f>
        <v>57000000</v>
      </c>
      <c r="E18" s="17">
        <f>SUM(E11:E15)</f>
        <v>70000000</v>
      </c>
      <c r="F18" s="17">
        <f>SUM(F11:F15)</f>
        <v>118000000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9"/>
  <sheetViews>
    <sheetView zoomScale="228" zoomScaleNormal="228" workbookViewId="0">
      <selection activeCell="G6" sqref="G6"/>
    </sheetView>
  </sheetViews>
  <sheetFormatPr baseColWidth="10" defaultColWidth="8.6640625" defaultRowHeight="15" x14ac:dyDescent="0.2"/>
  <cols>
    <col min="1" max="1" width="4" style="7" customWidth="1"/>
    <col min="2" max="3" width="34" style="7" customWidth="1"/>
    <col min="4" max="6" width="18" style="7" customWidth="1"/>
    <col min="7" max="7" width="28" style="7" customWidth="1"/>
  </cols>
  <sheetData>
    <row r="1" spans="1:7" ht="17.25" customHeight="1" x14ac:dyDescent="0.2">
      <c r="A1" s="6" t="s">
        <v>69</v>
      </c>
      <c r="B1" s="6"/>
      <c r="C1" s="6"/>
      <c r="D1" s="6"/>
      <c r="E1" s="6"/>
      <c r="F1" s="6"/>
      <c r="G1" s="6"/>
    </row>
    <row r="2" spans="1:7" ht="15" customHeight="1" x14ac:dyDescent="0.2">
      <c r="A2" s="2" t="s">
        <v>70</v>
      </c>
      <c r="B2" s="2"/>
      <c r="C2" s="2"/>
      <c r="D2" s="2"/>
      <c r="E2" s="2"/>
      <c r="F2" s="2"/>
      <c r="G2" s="2"/>
    </row>
    <row r="4" spans="1:7" ht="15" customHeight="1" x14ac:dyDescent="0.2">
      <c r="A4" s="10"/>
      <c r="B4" s="10" t="s">
        <v>32</v>
      </c>
      <c r="C4" s="10" t="s">
        <v>33</v>
      </c>
      <c r="D4" s="10" t="s">
        <v>7</v>
      </c>
      <c r="E4" s="10" t="s">
        <v>8</v>
      </c>
      <c r="F4" s="10" t="s">
        <v>9</v>
      </c>
      <c r="G4" s="10" t="s">
        <v>34</v>
      </c>
    </row>
    <row r="5" spans="1:7" ht="15" customHeight="1" x14ac:dyDescent="0.2">
      <c r="B5" s="8" t="s">
        <v>35</v>
      </c>
      <c r="D5" s="15">
        <v>50</v>
      </c>
      <c r="E5" s="15">
        <v>60</v>
      </c>
      <c r="F5" s="15">
        <v>100</v>
      </c>
    </row>
    <row r="6" spans="1:7" ht="26.25" customHeight="1" x14ac:dyDescent="0.2">
      <c r="B6" s="8" t="s">
        <v>71</v>
      </c>
      <c r="D6" s="15">
        <v>100</v>
      </c>
      <c r="E6" s="15">
        <v>150</v>
      </c>
      <c r="F6" s="15">
        <v>300</v>
      </c>
      <c r="G6" s="8" t="s">
        <v>72</v>
      </c>
    </row>
    <row r="7" spans="1:7" ht="26.25" customHeight="1" x14ac:dyDescent="0.2">
      <c r="B7" s="8" t="s">
        <v>73</v>
      </c>
      <c r="D7" s="15">
        <v>100</v>
      </c>
      <c r="E7" s="15">
        <v>150</v>
      </c>
      <c r="F7" s="15">
        <v>300</v>
      </c>
      <c r="G7" s="8" t="s">
        <v>74</v>
      </c>
    </row>
    <row r="9" spans="1:7" ht="15" customHeight="1" x14ac:dyDescent="0.2">
      <c r="B9" s="8" t="s">
        <v>37</v>
      </c>
      <c r="D9" s="14">
        <f>D5*'Tóm tắt 3 kịch bản'!$C$5</f>
        <v>100000000</v>
      </c>
      <c r="E9" s="14">
        <f>E5*'Tóm tắt 3 kịch bản'!$C$5</f>
        <v>120000000</v>
      </c>
      <c r="F9" s="14">
        <f>F5*'Tóm tắt 3 kịch bản'!$C$5</f>
        <v>200000000</v>
      </c>
    </row>
    <row r="11" spans="1:7" ht="15" customHeight="1" x14ac:dyDescent="0.2">
      <c r="B11" s="11" t="s">
        <v>75</v>
      </c>
      <c r="C11" s="8" t="s">
        <v>76</v>
      </c>
      <c r="D11" s="14">
        <f>0.35*D9</f>
        <v>35000000</v>
      </c>
      <c r="E11" s="14">
        <f>0.35*E9</f>
        <v>42000000</v>
      </c>
      <c r="F11" s="14">
        <f>0.35*F9</f>
        <v>70000000</v>
      </c>
    </row>
    <row r="12" spans="1:7" ht="15" customHeight="1" x14ac:dyDescent="0.2">
      <c r="B12" s="11" t="s">
        <v>41</v>
      </c>
      <c r="C12" s="8" t="s">
        <v>77</v>
      </c>
      <c r="D12" s="14">
        <v>18000000</v>
      </c>
      <c r="E12" s="14">
        <v>18000000</v>
      </c>
      <c r="F12" s="14">
        <v>18000000</v>
      </c>
    </row>
    <row r="13" spans="1:7" ht="15" customHeight="1" x14ac:dyDescent="0.2">
      <c r="B13" s="11" t="s">
        <v>62</v>
      </c>
      <c r="C13" s="8" t="s">
        <v>78</v>
      </c>
      <c r="D13" s="14">
        <f>0.1*D6*'Tóm tắt 3 kịch bản'!$C$5</f>
        <v>20000000</v>
      </c>
      <c r="E13" s="14">
        <f>0.1*E6*'Tóm tắt 3 kịch bản'!$C$5</f>
        <v>30000000</v>
      </c>
      <c r="F13" s="14">
        <f>0.1*F6*'Tóm tắt 3 kịch bản'!$C$5</f>
        <v>60000000</v>
      </c>
    </row>
    <row r="14" spans="1:7" ht="15" customHeight="1" x14ac:dyDescent="0.2">
      <c r="B14" s="11" t="s">
        <v>64</v>
      </c>
      <c r="C14" s="8" t="s">
        <v>79</v>
      </c>
      <c r="D14" s="14">
        <f>0.05*D7*'Tóm tắt 3 kịch bản'!$C$5</f>
        <v>10000000</v>
      </c>
      <c r="E14" s="14">
        <f>0.05*E7*'Tóm tắt 3 kịch bản'!$C$5</f>
        <v>15000000</v>
      </c>
      <c r="F14" s="14">
        <f>0.05*F7*'Tóm tắt 3 kịch bản'!$C$5</f>
        <v>30000000</v>
      </c>
    </row>
    <row r="15" spans="1:7" ht="15" customHeight="1" x14ac:dyDescent="0.2">
      <c r="B15" s="8" t="s">
        <v>66</v>
      </c>
      <c r="C15" s="8" t="s">
        <v>80</v>
      </c>
      <c r="D15" s="14">
        <v>0</v>
      </c>
      <c r="E15" s="14">
        <v>0</v>
      </c>
      <c r="F15" s="14">
        <v>0</v>
      </c>
    </row>
    <row r="19" spans="2:6" ht="15" customHeight="1" x14ac:dyDescent="0.2">
      <c r="B19" s="16" t="s">
        <v>81</v>
      </c>
      <c r="D19" s="17">
        <f>SUM(D11:D15)</f>
        <v>83000000</v>
      </c>
      <c r="E19" s="17">
        <f>SUM(E11:E15)</f>
        <v>105000000</v>
      </c>
      <c r="F19" s="17">
        <f>SUM(F11:F15)</f>
        <v>178000000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2"/>
  <sheetViews>
    <sheetView zoomScale="217" zoomScaleNormal="217" workbookViewId="0">
      <selection activeCell="E7" sqref="E7"/>
    </sheetView>
  </sheetViews>
  <sheetFormatPr baseColWidth="10" defaultColWidth="8.6640625" defaultRowHeight="15" x14ac:dyDescent="0.2"/>
  <cols>
    <col min="1" max="1" width="4" style="7" customWidth="1"/>
    <col min="2" max="3" width="34" style="7" customWidth="1"/>
    <col min="4" max="6" width="18" style="7" customWidth="1"/>
    <col min="7" max="7" width="28" style="7" customWidth="1"/>
  </cols>
  <sheetData>
    <row r="1" spans="1:7" ht="17.25" customHeight="1" x14ac:dyDescent="0.2">
      <c r="A1" s="6" t="s">
        <v>82</v>
      </c>
      <c r="B1" s="6"/>
      <c r="C1" s="6"/>
      <c r="D1" s="6"/>
      <c r="E1" s="6"/>
      <c r="F1" s="6"/>
      <c r="G1" s="6"/>
    </row>
    <row r="2" spans="1:7" ht="15" customHeight="1" x14ac:dyDescent="0.2">
      <c r="A2" s="2" t="s">
        <v>83</v>
      </c>
      <c r="B2" s="2"/>
      <c r="C2" s="2"/>
      <c r="D2" s="2"/>
      <c r="E2" s="2"/>
      <c r="F2" s="2"/>
      <c r="G2" s="2"/>
    </row>
    <row r="4" spans="1:7" ht="15" customHeight="1" x14ac:dyDescent="0.2">
      <c r="A4" s="10"/>
      <c r="B4" s="10" t="s">
        <v>32</v>
      </c>
      <c r="C4" s="10" t="s">
        <v>33</v>
      </c>
      <c r="D4" s="10" t="s">
        <v>7</v>
      </c>
      <c r="E4" s="10" t="s">
        <v>8</v>
      </c>
      <c r="F4" s="10" t="s">
        <v>9</v>
      </c>
      <c r="G4" s="10" t="s">
        <v>34</v>
      </c>
    </row>
    <row r="5" spans="1:7" ht="15" customHeight="1" x14ac:dyDescent="0.2">
      <c r="B5" s="8" t="s">
        <v>35</v>
      </c>
      <c r="D5" s="15">
        <v>50</v>
      </c>
      <c r="E5" s="15">
        <v>60</v>
      </c>
      <c r="F5" s="15">
        <v>100</v>
      </c>
    </row>
    <row r="6" spans="1:7" ht="26.25" customHeight="1" x14ac:dyDescent="0.2">
      <c r="B6" s="8" t="s">
        <v>84</v>
      </c>
      <c r="D6" s="15">
        <v>100</v>
      </c>
      <c r="E6" s="15">
        <v>200</v>
      </c>
      <c r="F6" s="15">
        <v>400</v>
      </c>
      <c r="G6" s="8" t="s">
        <v>85</v>
      </c>
    </row>
    <row r="7" spans="1:7" ht="26.25" customHeight="1" x14ac:dyDescent="0.2">
      <c r="B7" s="8" t="s">
        <v>86</v>
      </c>
      <c r="D7" s="15">
        <v>200</v>
      </c>
      <c r="E7" s="15">
        <v>400</v>
      </c>
      <c r="F7" s="15">
        <v>600</v>
      </c>
      <c r="G7" s="8" t="s">
        <v>87</v>
      </c>
    </row>
    <row r="8" spans="1:7" ht="26.25" customHeight="1" x14ac:dyDescent="0.2">
      <c r="B8" s="8" t="s">
        <v>88</v>
      </c>
      <c r="D8" s="15">
        <v>400</v>
      </c>
      <c r="E8" s="15">
        <v>800</v>
      </c>
      <c r="F8" s="15">
        <v>1200</v>
      </c>
      <c r="G8" s="8" t="s">
        <v>89</v>
      </c>
    </row>
    <row r="10" spans="1:7" ht="15" customHeight="1" x14ac:dyDescent="0.2">
      <c r="B10" s="8" t="s">
        <v>37</v>
      </c>
      <c r="D10" s="14">
        <f>D5*'Tóm tắt 3 kịch bản'!$C$5</f>
        <v>100000000</v>
      </c>
      <c r="E10" s="14">
        <f>E5*'Tóm tắt 3 kịch bản'!$C$5</f>
        <v>120000000</v>
      </c>
      <c r="F10" s="14">
        <f>F5*'Tóm tắt 3 kịch bản'!$C$5</f>
        <v>200000000</v>
      </c>
    </row>
    <row r="12" spans="1:7" ht="15" customHeight="1" x14ac:dyDescent="0.2">
      <c r="B12" s="11" t="s">
        <v>90</v>
      </c>
      <c r="C12" s="8" t="s">
        <v>91</v>
      </c>
      <c r="D12" s="14">
        <f>0.38*D10</f>
        <v>38000000</v>
      </c>
      <c r="E12" s="14">
        <f>0.38*E10</f>
        <v>45600000</v>
      </c>
      <c r="F12" s="14">
        <f>0.38*F10</f>
        <v>76000000</v>
      </c>
    </row>
    <row r="13" spans="1:7" ht="15" customHeight="1" x14ac:dyDescent="0.2">
      <c r="B13" s="11" t="s">
        <v>41</v>
      </c>
      <c r="C13" s="8" t="s">
        <v>92</v>
      </c>
      <c r="D13" s="14">
        <v>30000000</v>
      </c>
      <c r="E13" s="14">
        <v>30000000</v>
      </c>
      <c r="F13" s="14">
        <v>30000000</v>
      </c>
    </row>
    <row r="14" spans="1:7" ht="15" customHeight="1" x14ac:dyDescent="0.2">
      <c r="B14" s="11" t="s">
        <v>62</v>
      </c>
      <c r="C14" s="8" t="s">
        <v>93</v>
      </c>
      <c r="D14" s="14">
        <f>0.1*D6*'Tóm tắt 3 kịch bản'!$C$5</f>
        <v>20000000</v>
      </c>
      <c r="E14" s="14">
        <f>0.1*E6*'Tóm tắt 3 kịch bản'!$C$5</f>
        <v>40000000</v>
      </c>
      <c r="F14" s="14">
        <f>0.1*F6*'Tóm tắt 3 kịch bản'!$C$5</f>
        <v>80000000</v>
      </c>
    </row>
    <row r="15" spans="1:7" ht="15" customHeight="1" x14ac:dyDescent="0.2">
      <c r="B15" s="11" t="s">
        <v>64</v>
      </c>
      <c r="C15" s="8" t="s">
        <v>94</v>
      </c>
      <c r="D15" s="14">
        <f>0.05*D7*'Tóm tắt 3 kịch bản'!$C$5</f>
        <v>20000000</v>
      </c>
      <c r="E15" s="14">
        <f>0.05*E7*'Tóm tắt 3 kịch bản'!$C$5</f>
        <v>40000000</v>
      </c>
      <c r="F15" s="14">
        <f>0.05*F7*'Tóm tắt 3 kịch bản'!$C$5</f>
        <v>60000000</v>
      </c>
    </row>
    <row r="16" spans="1:7" ht="15" customHeight="1" x14ac:dyDescent="0.2">
      <c r="B16" s="11" t="s">
        <v>95</v>
      </c>
      <c r="C16" s="8" t="s">
        <v>96</v>
      </c>
      <c r="D16" s="14">
        <f>0.03*D8*'Tóm tắt 3 kịch bản'!$C$5</f>
        <v>24000000</v>
      </c>
      <c r="E16" s="14">
        <f>0.03*E8*'Tóm tắt 3 kịch bản'!$C$5</f>
        <v>48000000</v>
      </c>
      <c r="F16" s="14">
        <f>0.03*F8*'Tóm tắt 3 kịch bản'!$C$5</f>
        <v>72000000</v>
      </c>
    </row>
    <row r="22" spans="2:6" ht="15" customHeight="1" x14ac:dyDescent="0.2">
      <c r="B22" s="16" t="s">
        <v>97</v>
      </c>
      <c r="D22" s="17">
        <f>SUM(D12:D16)</f>
        <v>132000000</v>
      </c>
      <c r="E22" s="17">
        <f>SUM(E12:E16)</f>
        <v>203600000</v>
      </c>
      <c r="F22" s="17">
        <f>SUM(F12:F16)</f>
        <v>318000000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3"/>
  <sheetViews>
    <sheetView tabSelected="1" zoomScale="222" zoomScaleNormal="222" workbookViewId="0">
      <selection activeCell="H11" sqref="H11"/>
    </sheetView>
  </sheetViews>
  <sheetFormatPr baseColWidth="10" defaultColWidth="8.6640625" defaultRowHeight="15" x14ac:dyDescent="0.2"/>
  <cols>
    <col min="1" max="1" width="4" style="7" customWidth="1"/>
    <col min="2" max="2" width="30" style="7" customWidth="1"/>
    <col min="3" max="5" width="18" style="7" customWidth="1"/>
    <col min="6" max="6" width="30" style="7" customWidth="1"/>
  </cols>
  <sheetData>
    <row r="1" spans="1:6" ht="17.25" customHeight="1" x14ac:dyDescent="0.2">
      <c r="A1" s="6" t="s">
        <v>98</v>
      </c>
      <c r="B1" s="6"/>
      <c r="C1" s="6"/>
      <c r="D1" s="6"/>
      <c r="E1" s="6"/>
      <c r="F1" s="6"/>
    </row>
    <row r="3" spans="1:6" ht="15" customHeight="1" x14ac:dyDescent="0.2">
      <c r="A3" s="4" t="s">
        <v>99</v>
      </c>
      <c r="B3" s="4"/>
      <c r="C3" s="4"/>
      <c r="D3" s="4"/>
      <c r="E3" s="4"/>
      <c r="F3" s="4"/>
    </row>
    <row r="4" spans="1:6" ht="15" customHeight="1" x14ac:dyDescent="0.2">
      <c r="A4" s="10"/>
      <c r="B4" s="10" t="s">
        <v>100</v>
      </c>
      <c r="C4" s="10" t="s">
        <v>7</v>
      </c>
      <c r="D4" s="10" t="s">
        <v>8</v>
      </c>
      <c r="E4" s="10" t="s">
        <v>9</v>
      </c>
      <c r="F4" s="10" t="s">
        <v>34</v>
      </c>
    </row>
    <row r="5" spans="1:6" ht="15" customHeight="1" x14ac:dyDescent="0.2">
      <c r="B5" s="11" t="s">
        <v>22</v>
      </c>
      <c r="C5" s="18">
        <v>1</v>
      </c>
      <c r="D5" s="18">
        <v>1</v>
      </c>
      <c r="E5" s="18">
        <v>1</v>
      </c>
      <c r="F5" s="8" t="s">
        <v>101</v>
      </c>
    </row>
    <row r="6" spans="1:6" ht="15" customHeight="1" x14ac:dyDescent="0.2">
      <c r="B6" s="11" t="s">
        <v>19</v>
      </c>
      <c r="C6" s="18">
        <v>2</v>
      </c>
      <c r="D6" s="18">
        <v>4</v>
      </c>
      <c r="E6" s="18">
        <v>6</v>
      </c>
      <c r="F6" s="8" t="s">
        <v>102</v>
      </c>
    </row>
    <row r="7" spans="1:6" ht="15" customHeight="1" x14ac:dyDescent="0.2">
      <c r="B7" s="11" t="s">
        <v>16</v>
      </c>
      <c r="C7" s="18">
        <v>4</v>
      </c>
      <c r="D7" s="18">
        <v>8</v>
      </c>
      <c r="E7" s="18">
        <v>12</v>
      </c>
      <c r="F7" s="8" t="s">
        <v>103</v>
      </c>
    </row>
    <row r="8" spans="1:6" ht="15" customHeight="1" x14ac:dyDescent="0.2">
      <c r="B8" s="11" t="s">
        <v>14</v>
      </c>
      <c r="C8" s="18">
        <v>8</v>
      </c>
      <c r="D8" s="18">
        <v>16</v>
      </c>
      <c r="E8" s="18">
        <v>24</v>
      </c>
      <c r="F8" s="8" t="s">
        <v>104</v>
      </c>
    </row>
    <row r="9" spans="1:6" ht="26.25" customHeight="1" x14ac:dyDescent="0.2">
      <c r="B9" s="11" t="s">
        <v>11</v>
      </c>
      <c r="C9" s="18">
        <v>16</v>
      </c>
      <c r="D9" s="18">
        <v>32</v>
      </c>
      <c r="E9" s="18">
        <v>48</v>
      </c>
      <c r="F9" s="8" t="s">
        <v>105</v>
      </c>
    </row>
    <row r="11" spans="1:6" ht="15" customHeight="1" x14ac:dyDescent="0.2">
      <c r="B11" s="16" t="s">
        <v>106</v>
      </c>
      <c r="C11" s="19">
        <f>SUM(C5:C9)</f>
        <v>31</v>
      </c>
      <c r="D11" s="19">
        <f>SUM(D5:D9)</f>
        <v>61</v>
      </c>
      <c r="E11" s="19">
        <f>SUM(E5:E9)</f>
        <v>91</v>
      </c>
    </row>
    <row r="12" spans="1:6" ht="26.25" customHeight="1" x14ac:dyDescent="0.2">
      <c r="B12" s="16" t="s">
        <v>107</v>
      </c>
      <c r="C12" s="19">
        <f>C5*50+C6*50+C7*50+C8*50+C9*10</f>
        <v>910</v>
      </c>
      <c r="D12" s="19">
        <f>D5*50+D6*50+D7*50+D8*50+D9*10</f>
        <v>1770</v>
      </c>
      <c r="E12" s="19">
        <f>E5*100+E6*100+E7*100+E8*100+E9*30</f>
        <v>5740</v>
      </c>
    </row>
    <row r="13" spans="1:6" ht="15" customHeight="1" x14ac:dyDescent="0.2">
      <c r="B13" s="16" t="s">
        <v>108</v>
      </c>
      <c r="C13" s="17">
        <f>C12*'Tóm tắt 3 kịch bản'!$C$5</f>
        <v>1820000000</v>
      </c>
      <c r="D13" s="17">
        <f>D12*'Tóm tắt 3 kịch bản'!$C$5</f>
        <v>3540000000</v>
      </c>
      <c r="E13" s="17">
        <f>E12*'Tóm tắt 3 kịch bản'!$C$5</f>
        <v>11480000000</v>
      </c>
    </row>
    <row r="15" spans="1:6" ht="15" customHeight="1" x14ac:dyDescent="0.2">
      <c r="A15" s="4" t="s">
        <v>109</v>
      </c>
      <c r="B15" s="4"/>
      <c r="C15" s="4"/>
      <c r="D15" s="4"/>
      <c r="E15" s="4"/>
      <c r="F15" s="4"/>
    </row>
    <row r="17" spans="1:6" ht="15" customHeight="1" x14ac:dyDescent="0.2">
      <c r="A17" s="4" t="s">
        <v>110</v>
      </c>
      <c r="B17" s="4"/>
      <c r="C17" s="4"/>
      <c r="D17" s="4"/>
      <c r="E17" s="4"/>
      <c r="F17" s="4"/>
    </row>
    <row r="18" spans="1:6" ht="15" customHeight="1" x14ac:dyDescent="0.2">
      <c r="A18" s="1" t="s">
        <v>111</v>
      </c>
      <c r="B18" s="1"/>
      <c r="C18" s="1"/>
      <c r="D18" s="1"/>
      <c r="E18" s="1"/>
      <c r="F18" s="1"/>
    </row>
    <row r="19" spans="1:6" ht="15" customHeight="1" x14ac:dyDescent="0.2">
      <c r="A19" s="1" t="s">
        <v>112</v>
      </c>
      <c r="B19" s="1"/>
      <c r="C19" s="1"/>
      <c r="D19" s="1"/>
      <c r="E19" s="1"/>
      <c r="F19" s="1"/>
    </row>
    <row r="20" spans="1:6" ht="15" customHeight="1" x14ac:dyDescent="0.2">
      <c r="A20" s="1" t="s">
        <v>113</v>
      </c>
      <c r="B20" s="1"/>
      <c r="C20" s="1"/>
      <c r="D20" s="1"/>
      <c r="E20" s="1"/>
      <c r="F20" s="1"/>
    </row>
    <row r="21" spans="1:6" ht="15" customHeight="1" x14ac:dyDescent="0.2">
      <c r="A21" s="1" t="s">
        <v>114</v>
      </c>
      <c r="B21" s="1"/>
      <c r="C21" s="1"/>
      <c r="D21" s="1"/>
      <c r="E21" s="1"/>
      <c r="F21" s="1"/>
    </row>
    <row r="22" spans="1:6" ht="15" customHeight="1" x14ac:dyDescent="0.2">
      <c r="A22" s="1" t="s">
        <v>115</v>
      </c>
      <c r="B22" s="1"/>
      <c r="C22" s="1"/>
      <c r="D22" s="1"/>
      <c r="E22" s="1"/>
      <c r="F22" s="1"/>
    </row>
    <row r="23" spans="1:6" ht="15" customHeight="1" x14ac:dyDescent="0.2">
      <c r="A23" s="1" t="s">
        <v>116</v>
      </c>
      <c r="B23" s="1"/>
      <c r="C23" s="1"/>
      <c r="D23" s="1"/>
      <c r="E23" s="1"/>
      <c r="F23" s="1"/>
    </row>
    <row r="24" spans="1:6" ht="15" customHeight="1" x14ac:dyDescent="0.2">
      <c r="A24" s="1" t="s">
        <v>117</v>
      </c>
      <c r="B24" s="1"/>
      <c r="C24" s="1"/>
      <c r="D24" s="1"/>
      <c r="E24" s="1"/>
      <c r="F24" s="1"/>
    </row>
    <row r="25" spans="1:6" ht="15" customHeight="1" x14ac:dyDescent="0.2">
      <c r="A25" s="1" t="s">
        <v>118</v>
      </c>
      <c r="B25" s="1"/>
      <c r="C25" s="1"/>
      <c r="D25" s="1"/>
      <c r="E25" s="1"/>
      <c r="F25" s="1"/>
    </row>
    <row r="26" spans="1:6" ht="15" customHeight="1" x14ac:dyDescent="0.2">
      <c r="A26" s="1" t="s">
        <v>119</v>
      </c>
      <c r="B26" s="1"/>
      <c r="C26" s="1"/>
      <c r="D26" s="1"/>
      <c r="E26" s="1"/>
      <c r="F26" s="1"/>
    </row>
    <row r="27" spans="1:6" ht="15" customHeight="1" x14ac:dyDescent="0.2">
      <c r="A27" s="1" t="s">
        <v>120</v>
      </c>
      <c r="B27" s="1"/>
      <c r="C27" s="1"/>
      <c r="D27" s="1"/>
      <c r="E27" s="1"/>
      <c r="F27" s="1"/>
    </row>
    <row r="29" spans="1:6" ht="15" customHeight="1" x14ac:dyDescent="0.2">
      <c r="A29" s="4" t="s">
        <v>121</v>
      </c>
      <c r="B29" s="4"/>
      <c r="C29" s="4"/>
      <c r="D29" s="4"/>
      <c r="E29" s="4"/>
      <c r="F29" s="4"/>
    </row>
    <row r="30" spans="1:6" ht="15" customHeight="1" x14ac:dyDescent="0.2">
      <c r="A30" s="1" t="s">
        <v>111</v>
      </c>
      <c r="B30" s="1"/>
      <c r="C30" s="1"/>
      <c r="D30" s="1"/>
      <c r="E30" s="1"/>
      <c r="F30" s="1"/>
    </row>
    <row r="31" spans="1:6" ht="15" customHeight="1" x14ac:dyDescent="0.2">
      <c r="A31" s="1" t="s">
        <v>122</v>
      </c>
      <c r="B31" s="1"/>
      <c r="C31" s="1"/>
      <c r="D31" s="1"/>
      <c r="E31" s="1"/>
      <c r="F31" s="1"/>
    </row>
    <row r="32" spans="1:6" ht="15" customHeight="1" x14ac:dyDescent="0.2">
      <c r="A32" s="1" t="s">
        <v>123</v>
      </c>
      <c r="B32" s="1"/>
      <c r="C32" s="1"/>
      <c r="D32" s="1"/>
      <c r="E32" s="1"/>
      <c r="F32" s="1"/>
    </row>
    <row r="33" spans="1:6" ht="15" customHeight="1" x14ac:dyDescent="0.2">
      <c r="A33" s="1" t="s">
        <v>124</v>
      </c>
      <c r="B33" s="1"/>
      <c r="C33" s="1"/>
      <c r="D33" s="1"/>
      <c r="E33" s="1"/>
      <c r="F33" s="1"/>
    </row>
    <row r="34" spans="1:6" ht="15" customHeight="1" x14ac:dyDescent="0.2">
      <c r="A34" s="1" t="s">
        <v>125</v>
      </c>
      <c r="B34" s="1"/>
      <c r="C34" s="1"/>
      <c r="D34" s="1"/>
      <c r="E34" s="1"/>
      <c r="F34" s="1"/>
    </row>
    <row r="35" spans="1:6" ht="15" customHeight="1" x14ac:dyDescent="0.2">
      <c r="A35" s="1" t="s">
        <v>126</v>
      </c>
      <c r="B35" s="1"/>
      <c r="C35" s="1"/>
      <c r="D35" s="1"/>
      <c r="E35" s="1"/>
      <c r="F35" s="1"/>
    </row>
    <row r="37" spans="1:6" ht="15" customHeight="1" x14ac:dyDescent="0.2">
      <c r="A37" s="4" t="s">
        <v>127</v>
      </c>
      <c r="B37" s="4"/>
      <c r="C37" s="4"/>
      <c r="D37" s="4"/>
      <c r="E37" s="4"/>
      <c r="F37" s="4"/>
    </row>
    <row r="38" spans="1:6" ht="15" customHeight="1" x14ac:dyDescent="0.2">
      <c r="A38" s="1" t="s">
        <v>128</v>
      </c>
      <c r="B38" s="1"/>
      <c r="C38" s="1"/>
      <c r="D38" s="1"/>
      <c r="E38" s="1"/>
      <c r="F38" s="1"/>
    </row>
    <row r="39" spans="1:6" ht="15" customHeight="1" x14ac:dyDescent="0.2">
      <c r="A39" s="1" t="s">
        <v>129</v>
      </c>
      <c r="B39" s="1"/>
      <c r="C39" s="1"/>
      <c r="D39" s="1"/>
      <c r="E39" s="1"/>
      <c r="F39" s="1"/>
    </row>
    <row r="40" spans="1:6" ht="15" customHeight="1" x14ac:dyDescent="0.2">
      <c r="A40" s="1" t="s">
        <v>130</v>
      </c>
      <c r="B40" s="1"/>
      <c r="C40" s="1"/>
      <c r="D40" s="1"/>
      <c r="E40" s="1"/>
      <c r="F40" s="1"/>
    </row>
    <row r="41" spans="1:6" ht="15" customHeight="1" x14ac:dyDescent="0.2">
      <c r="A41" s="1" t="s">
        <v>131</v>
      </c>
      <c r="B41" s="1"/>
      <c r="C41" s="1"/>
      <c r="D41" s="1"/>
      <c r="E41" s="1"/>
      <c r="F41" s="1"/>
    </row>
    <row r="42" spans="1:6" ht="15" customHeight="1" x14ac:dyDescent="0.2">
      <c r="A42" s="1" t="s">
        <v>132</v>
      </c>
      <c r="B42" s="1"/>
      <c r="C42" s="1"/>
      <c r="D42" s="1"/>
      <c r="E42" s="1"/>
      <c r="F42" s="1"/>
    </row>
    <row r="43" spans="1:6" ht="15" customHeight="1" x14ac:dyDescent="0.2">
      <c r="A43" s="1" t="s">
        <v>133</v>
      </c>
      <c r="B43" s="1"/>
      <c r="C43" s="1"/>
      <c r="D43" s="1"/>
      <c r="E43" s="1"/>
      <c r="F43" s="1"/>
    </row>
  </sheetData>
  <mergeCells count="28">
    <mergeCell ref="A41:F41"/>
    <mergeCell ref="A42:F42"/>
    <mergeCell ref="A43:F43"/>
    <mergeCell ref="A35:F35"/>
    <mergeCell ref="A37:F37"/>
    <mergeCell ref="A38:F38"/>
    <mergeCell ref="A39:F39"/>
    <mergeCell ref="A40:F40"/>
    <mergeCell ref="A30:F30"/>
    <mergeCell ref="A31:F31"/>
    <mergeCell ref="A32:F32"/>
    <mergeCell ref="A33:F33"/>
    <mergeCell ref="A34:F34"/>
    <mergeCell ref="A24:F24"/>
    <mergeCell ref="A25:F25"/>
    <mergeCell ref="A26:F26"/>
    <mergeCell ref="A27:F27"/>
    <mergeCell ref="A29:F29"/>
    <mergeCell ref="A19:F19"/>
    <mergeCell ref="A20:F20"/>
    <mergeCell ref="A21:F21"/>
    <mergeCell ref="A22:F22"/>
    <mergeCell ref="A23:F23"/>
    <mergeCell ref="A1:F1"/>
    <mergeCell ref="A3:F3"/>
    <mergeCell ref="A15:F15"/>
    <mergeCell ref="A17:F17"/>
    <mergeCell ref="A18:F18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5"/>
  <sheetViews>
    <sheetView zoomScaleNormal="100" workbookViewId="0"/>
  </sheetViews>
  <sheetFormatPr baseColWidth="10" defaultColWidth="8.6640625" defaultRowHeight="15" x14ac:dyDescent="0.2"/>
  <cols>
    <col min="1" max="1" width="22" style="7" customWidth="1"/>
    <col min="2" max="2" width="28" style="7" customWidth="1"/>
    <col min="3" max="3" width="15" style="7" customWidth="1"/>
    <col min="4" max="4" width="28" style="7" customWidth="1"/>
    <col min="5" max="5" width="32" style="7" customWidth="1"/>
  </cols>
  <sheetData>
    <row r="1" spans="1:5" ht="17.25" customHeight="1" x14ac:dyDescent="0.2">
      <c r="A1" s="6" t="s">
        <v>134</v>
      </c>
      <c r="B1" s="6"/>
      <c r="C1" s="6"/>
      <c r="D1" s="6"/>
      <c r="E1" s="6"/>
    </row>
    <row r="3" spans="1:5" ht="15" customHeight="1" x14ac:dyDescent="0.2">
      <c r="A3" s="4" t="s">
        <v>135</v>
      </c>
      <c r="B3" s="4"/>
      <c r="C3" s="4"/>
      <c r="D3" s="4"/>
      <c r="E3" s="4"/>
    </row>
    <row r="4" spans="1:5" ht="15" customHeight="1" x14ac:dyDescent="0.2">
      <c r="A4" s="10" t="s">
        <v>136</v>
      </c>
      <c r="B4" s="10" t="s">
        <v>137</v>
      </c>
      <c r="C4" s="10" t="s">
        <v>138</v>
      </c>
      <c r="D4" s="10" t="s">
        <v>139</v>
      </c>
      <c r="E4" s="10" t="s">
        <v>34</v>
      </c>
    </row>
    <row r="5" spans="1:5" ht="15" customHeight="1" x14ac:dyDescent="0.2">
      <c r="A5" s="8" t="s">
        <v>11</v>
      </c>
      <c r="B5" s="20">
        <v>0.2</v>
      </c>
      <c r="C5" s="21">
        <v>0</v>
      </c>
      <c r="D5" s="8" t="s">
        <v>140</v>
      </c>
      <c r="E5" s="8" t="s">
        <v>141</v>
      </c>
    </row>
    <row r="6" spans="1:5" ht="15" customHeight="1" x14ac:dyDescent="0.2">
      <c r="A6" s="8" t="s">
        <v>14</v>
      </c>
      <c r="B6" s="20">
        <v>0.2</v>
      </c>
      <c r="C6" s="21">
        <v>5000000</v>
      </c>
      <c r="D6" s="8" t="s">
        <v>142</v>
      </c>
      <c r="E6" s="8" t="s">
        <v>143</v>
      </c>
    </row>
    <row r="7" spans="1:5" ht="15" customHeight="1" x14ac:dyDescent="0.2">
      <c r="A7" s="8" t="s">
        <v>16</v>
      </c>
      <c r="B7" s="20">
        <v>0.3</v>
      </c>
      <c r="C7" s="21">
        <v>10000000</v>
      </c>
      <c r="D7" s="8" t="s">
        <v>144</v>
      </c>
      <c r="E7" s="8" t="s">
        <v>143</v>
      </c>
    </row>
    <row r="8" spans="1:5" ht="15" customHeight="1" x14ac:dyDescent="0.2">
      <c r="A8" s="8" t="s">
        <v>19</v>
      </c>
      <c r="B8" s="20">
        <v>0.35</v>
      </c>
      <c r="C8" s="21">
        <v>18000000</v>
      </c>
      <c r="D8" s="8" t="s">
        <v>145</v>
      </c>
      <c r="E8" s="8" t="s">
        <v>143</v>
      </c>
    </row>
    <row r="9" spans="1:5" ht="15" customHeight="1" x14ac:dyDescent="0.2">
      <c r="A9" s="8" t="s">
        <v>22</v>
      </c>
      <c r="B9" s="20">
        <v>0.38</v>
      </c>
      <c r="C9" s="21">
        <v>30000000</v>
      </c>
      <c r="D9" s="8" t="s">
        <v>146</v>
      </c>
      <c r="E9" s="8" t="s">
        <v>147</v>
      </c>
    </row>
    <row r="11" spans="1:5" ht="15" customHeight="1" x14ac:dyDescent="0.2">
      <c r="A11" s="4" t="s">
        <v>148</v>
      </c>
      <c r="B11" s="4"/>
      <c r="C11" s="4"/>
      <c r="D11" s="4"/>
      <c r="E11" s="4"/>
    </row>
    <row r="12" spans="1:5" ht="15" customHeight="1" x14ac:dyDescent="0.2">
      <c r="A12" s="10" t="s">
        <v>149</v>
      </c>
      <c r="B12" s="10" t="s">
        <v>150</v>
      </c>
      <c r="C12" s="10" t="s">
        <v>151</v>
      </c>
      <c r="D12" s="10" t="s">
        <v>152</v>
      </c>
      <c r="E12" s="10" t="s">
        <v>153</v>
      </c>
    </row>
    <row r="13" spans="1:5" ht="15" customHeight="1" x14ac:dyDescent="0.2">
      <c r="A13" s="8" t="s">
        <v>154</v>
      </c>
      <c r="B13" s="8" t="s">
        <v>155</v>
      </c>
      <c r="C13" s="20">
        <v>0.1</v>
      </c>
      <c r="D13" s="8" t="s">
        <v>156</v>
      </c>
      <c r="E13" s="8" t="s">
        <v>157</v>
      </c>
    </row>
    <row r="14" spans="1:5" ht="26.25" customHeight="1" x14ac:dyDescent="0.2">
      <c r="A14" s="8" t="s">
        <v>158</v>
      </c>
      <c r="B14" s="8" t="s">
        <v>159</v>
      </c>
      <c r="C14" s="20">
        <v>0.05</v>
      </c>
      <c r="D14" s="8" t="s">
        <v>160</v>
      </c>
      <c r="E14" s="8" t="s">
        <v>157</v>
      </c>
    </row>
    <row r="15" spans="1:5" ht="15" customHeight="1" x14ac:dyDescent="0.2">
      <c r="A15" s="8" t="s">
        <v>161</v>
      </c>
      <c r="B15" s="8" t="s">
        <v>162</v>
      </c>
      <c r="C15" s="20">
        <v>0.03</v>
      </c>
      <c r="D15" s="8" t="s">
        <v>163</v>
      </c>
      <c r="E15" s="8" t="s">
        <v>157</v>
      </c>
    </row>
    <row r="17" spans="1:5" ht="15" customHeight="1" x14ac:dyDescent="0.2">
      <c r="A17" s="4" t="s">
        <v>164</v>
      </c>
      <c r="B17" s="4"/>
      <c r="C17" s="4"/>
      <c r="D17" s="4"/>
      <c r="E17" s="4"/>
    </row>
    <row r="18" spans="1:5" ht="15" customHeight="1" x14ac:dyDescent="0.2">
      <c r="A18" s="10" t="s">
        <v>5</v>
      </c>
      <c r="B18" s="10" t="s">
        <v>165</v>
      </c>
      <c r="C18" s="10" t="s">
        <v>166</v>
      </c>
      <c r="D18" s="10" t="s">
        <v>167</v>
      </c>
      <c r="E18" s="10" t="s">
        <v>168</v>
      </c>
    </row>
    <row r="19" spans="1:5" ht="15" customHeight="1" x14ac:dyDescent="0.2">
      <c r="A19" s="8" t="s">
        <v>11</v>
      </c>
      <c r="B19" s="8" t="s">
        <v>169</v>
      </c>
      <c r="C19" s="8" t="s">
        <v>170</v>
      </c>
      <c r="D19" s="8" t="s">
        <v>170</v>
      </c>
      <c r="E19" s="8" t="s">
        <v>170</v>
      </c>
    </row>
    <row r="20" spans="1:5" ht="15" customHeight="1" x14ac:dyDescent="0.2">
      <c r="A20" s="8" t="s">
        <v>14</v>
      </c>
      <c r="B20" s="8" t="s">
        <v>169</v>
      </c>
      <c r="C20" s="8" t="s">
        <v>171</v>
      </c>
      <c r="D20" s="8" t="s">
        <v>172</v>
      </c>
      <c r="E20" s="8" t="s">
        <v>170</v>
      </c>
    </row>
    <row r="21" spans="1:5" ht="15" customHeight="1" x14ac:dyDescent="0.2">
      <c r="A21" s="8" t="s">
        <v>16</v>
      </c>
      <c r="B21" s="8" t="s">
        <v>173</v>
      </c>
      <c r="C21" s="8" t="s">
        <v>174</v>
      </c>
      <c r="D21" s="8" t="s">
        <v>175</v>
      </c>
      <c r="E21" s="8" t="s">
        <v>176</v>
      </c>
    </row>
    <row r="22" spans="1:5" ht="15" customHeight="1" x14ac:dyDescent="0.2">
      <c r="A22" s="8" t="s">
        <v>19</v>
      </c>
      <c r="B22" s="8" t="s">
        <v>177</v>
      </c>
      <c r="C22" s="8" t="s">
        <v>178</v>
      </c>
      <c r="D22" s="8" t="s">
        <v>179</v>
      </c>
      <c r="E22" s="8" t="s">
        <v>180</v>
      </c>
    </row>
    <row r="23" spans="1:5" ht="15" customHeight="1" x14ac:dyDescent="0.2">
      <c r="A23" s="8" t="s">
        <v>22</v>
      </c>
      <c r="B23" s="8" t="s">
        <v>181</v>
      </c>
      <c r="C23" s="8" t="s">
        <v>182</v>
      </c>
      <c r="D23" s="8" t="s">
        <v>183</v>
      </c>
      <c r="E23" s="8" t="s">
        <v>184</v>
      </c>
    </row>
    <row r="25" spans="1:5" ht="15" customHeight="1" x14ac:dyDescent="0.2">
      <c r="A25" s="2" t="s">
        <v>185</v>
      </c>
      <c r="B25" s="2"/>
      <c r="C25" s="2"/>
      <c r="D25" s="2"/>
      <c r="E25" s="2"/>
    </row>
  </sheetData>
  <mergeCells count="5">
    <mergeCell ref="A1:E1"/>
    <mergeCell ref="A3:E3"/>
    <mergeCell ref="A11:E11"/>
    <mergeCell ref="A17:E17"/>
    <mergeCell ref="A25:E2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Tóm tắt 3 kịch bản</vt:lpstr>
      <vt:lpstr>Chi tiết CTV</vt:lpstr>
      <vt:lpstr>Chi tiết PP</vt:lpstr>
      <vt:lpstr>Chi tiết TP</vt:lpstr>
      <vt:lpstr>Chi tiết GĐV</vt:lpstr>
      <vt:lpstr>Chi tiết GĐKD</vt:lpstr>
      <vt:lpstr>3 Mô hình cây</vt:lpstr>
      <vt:lpstr>Công thức V13.2.1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2026-04-16T10:29:45Z</dcterms:created>
  <dcterms:modified xsi:type="dcterms:W3CDTF">2026-04-16T10:58:18Z</dcterms:modified>
  <dc:language>en-US</dc:language>
</cp:coreProperties>
</file>