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mooncat/Library/CloudStorage/GoogleDrive-willy.nguyenqm@gmail.com/My Drive/ASTAR/41. E29/CCB Mart/"/>
    </mc:Choice>
  </mc:AlternateContent>
  <xr:revisionPtr revIDLastSave="0" documentId="13_ncr:1_{007BA3B4-4D60-0D43-AD33-F11B72A724EF}" xr6:coauthVersionLast="47" xr6:coauthVersionMax="47" xr10:uidLastSave="{00000000-0000-0000-0000-000000000000}"/>
  <bookViews>
    <workbookView xWindow="0" yWindow="600" windowWidth="68800" windowHeight="26400" tabRatio="500" xr2:uid="{00000000-000D-0000-FFFF-FFFF00000000}"/>
  </bookViews>
  <sheets>
    <sheet name="Dashboard CEO" sheetId="1" r:id="rId1"/>
    <sheet name="Công thức V13.2.1" sheetId="2" r:id="rId2"/>
    <sheet name="3 Mô hình cây" sheetId="3" r:id="rId3"/>
    <sheet name="Thu nhập per role" sheetId="4" r:id="rId4"/>
    <sheet name="Chi phí hệ thống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5" l="1"/>
  <c r="F40" i="5"/>
  <c r="G40" i="5" s="1"/>
  <c r="D40" i="5"/>
  <c r="E40" i="5" s="1"/>
  <c r="H39" i="5"/>
  <c r="F39" i="5"/>
  <c r="G39" i="5" s="1"/>
  <c r="D39" i="5"/>
  <c r="E39" i="5" s="1"/>
  <c r="H38" i="5"/>
  <c r="F38" i="5"/>
  <c r="G38" i="5" s="1"/>
  <c r="D38" i="5"/>
  <c r="E38" i="5" s="1"/>
  <c r="H37" i="5"/>
  <c r="F37" i="5"/>
  <c r="G37" i="5" s="1"/>
  <c r="D37" i="5"/>
  <c r="E37" i="5" s="1"/>
  <c r="H36" i="5"/>
  <c r="F36" i="5"/>
  <c r="G36" i="5" s="1"/>
  <c r="D36" i="5"/>
  <c r="E36" i="5" s="1"/>
  <c r="H35" i="5"/>
  <c r="H44" i="5" s="1"/>
  <c r="E34" i="1" s="1"/>
  <c r="F35" i="5"/>
  <c r="G35" i="5" s="1"/>
  <c r="D35" i="5"/>
  <c r="E35" i="5" s="1"/>
  <c r="H32" i="5"/>
  <c r="E33" i="1" s="1"/>
  <c r="F32" i="5"/>
  <c r="G32" i="5" s="1"/>
  <c r="H30" i="5"/>
  <c r="F30" i="5"/>
  <c r="G30" i="5" s="1"/>
  <c r="D30" i="5"/>
  <c r="E30" i="5" s="1"/>
  <c r="H29" i="5"/>
  <c r="F29" i="5"/>
  <c r="G29" i="5" s="1"/>
  <c r="D29" i="5"/>
  <c r="E29" i="5" s="1"/>
  <c r="H28" i="5"/>
  <c r="F28" i="5"/>
  <c r="G28" i="5" s="1"/>
  <c r="D28" i="5"/>
  <c r="E28" i="5" s="1"/>
  <c r="H27" i="5"/>
  <c r="F27" i="5"/>
  <c r="G27" i="5" s="1"/>
  <c r="D27" i="5"/>
  <c r="D32" i="5" s="1"/>
  <c r="H10" i="5"/>
  <c r="F10" i="5"/>
  <c r="G10" i="5" s="1"/>
  <c r="D10" i="5"/>
  <c r="E10" i="5" s="1"/>
  <c r="H9" i="5"/>
  <c r="F9" i="5"/>
  <c r="G9" i="5" s="1"/>
  <c r="D9" i="5"/>
  <c r="E9" i="5" s="1"/>
  <c r="H8" i="5"/>
  <c r="F8" i="5"/>
  <c r="G8" i="5" s="1"/>
  <c r="D8" i="5"/>
  <c r="E8" i="5" s="1"/>
  <c r="H7" i="5"/>
  <c r="F7" i="5"/>
  <c r="G7" i="5" s="1"/>
  <c r="D7" i="5"/>
  <c r="E7" i="5" s="1"/>
  <c r="H6" i="5"/>
  <c r="H24" i="5" s="1"/>
  <c r="F6" i="5"/>
  <c r="G6" i="5" s="1"/>
  <c r="D6" i="5"/>
  <c r="E6" i="5" s="1"/>
  <c r="E47" i="4"/>
  <c r="D47" i="4"/>
  <c r="C47" i="4"/>
  <c r="E46" i="4"/>
  <c r="D46" i="4"/>
  <c r="C46" i="4"/>
  <c r="E45" i="4"/>
  <c r="D45" i="4"/>
  <c r="C45" i="4"/>
  <c r="E43" i="4"/>
  <c r="E48" i="4" s="1"/>
  <c r="D43" i="4"/>
  <c r="D48" i="4" s="1"/>
  <c r="C43" i="4"/>
  <c r="C48" i="4" s="1"/>
  <c r="E36" i="4"/>
  <c r="E34" i="4"/>
  <c r="D34" i="4"/>
  <c r="C34" i="4"/>
  <c r="E33" i="4"/>
  <c r="D33" i="4"/>
  <c r="C33" i="4"/>
  <c r="C36" i="4" s="1"/>
  <c r="E31" i="4"/>
  <c r="D31" i="4"/>
  <c r="D36" i="4" s="1"/>
  <c r="C31" i="4"/>
  <c r="E25" i="4"/>
  <c r="E23" i="4"/>
  <c r="D23" i="4"/>
  <c r="C23" i="4"/>
  <c r="E22" i="4"/>
  <c r="D22" i="4"/>
  <c r="D25" i="4" s="1"/>
  <c r="C22" i="4"/>
  <c r="C25" i="4" s="1"/>
  <c r="E20" i="4"/>
  <c r="D20" i="4"/>
  <c r="C20" i="4"/>
  <c r="E14" i="4"/>
  <c r="E12" i="4"/>
  <c r="D12" i="4"/>
  <c r="D14" i="4" s="1"/>
  <c r="C12" i="4"/>
  <c r="C14" i="4" s="1"/>
  <c r="E8" i="4"/>
  <c r="C8" i="4"/>
  <c r="E7" i="4"/>
  <c r="D7" i="4"/>
  <c r="D8" i="4" s="1"/>
  <c r="C7" i="4"/>
  <c r="D12" i="3"/>
  <c r="C12" i="3"/>
  <c r="E10" i="3"/>
  <c r="D10" i="3"/>
  <c r="C10" i="3"/>
  <c r="D29" i="1"/>
  <c r="D40" i="1" s="1"/>
  <c r="C29" i="1"/>
  <c r="C40" i="1" s="1"/>
  <c r="D28" i="1"/>
  <c r="D39" i="1" s="1"/>
  <c r="C28" i="1"/>
  <c r="C39" i="1" s="1"/>
  <c r="E27" i="1"/>
  <c r="E28" i="1" s="1"/>
  <c r="D27" i="1"/>
  <c r="C27" i="1"/>
  <c r="E26" i="1"/>
  <c r="D26" i="1"/>
  <c r="C26" i="1"/>
  <c r="E42" i="1" l="1"/>
  <c r="E39" i="1"/>
  <c r="E13" i="3"/>
  <c r="E29" i="1"/>
  <c r="E40" i="1" s="1"/>
  <c r="H47" i="5"/>
  <c r="E32" i="1"/>
  <c r="E35" i="1" s="1"/>
  <c r="C33" i="1"/>
  <c r="E32" i="5"/>
  <c r="D44" i="5"/>
  <c r="F44" i="5"/>
  <c r="E12" i="3"/>
  <c r="D24" i="5"/>
  <c r="C13" i="3"/>
  <c r="D13" i="3"/>
  <c r="F24" i="5"/>
  <c r="D33" i="1"/>
  <c r="E27" i="5"/>
  <c r="C42" i="1"/>
  <c r="D42" i="1"/>
  <c r="F47" i="5" l="1"/>
  <c r="G47" i="5" s="1"/>
  <c r="D32" i="1"/>
  <c r="G24" i="5"/>
  <c r="D47" i="5"/>
  <c r="E47" i="5" s="1"/>
  <c r="C32" i="1"/>
  <c r="C35" i="1" s="1"/>
  <c r="E24" i="5"/>
  <c r="D34" i="1"/>
  <c r="G44" i="5"/>
  <c r="E36" i="1"/>
  <c r="E41" i="1"/>
  <c r="E43" i="1" s="1"/>
  <c r="E44" i="1" s="1"/>
  <c r="C34" i="1"/>
  <c r="E44" i="5"/>
  <c r="C36" i="1" l="1"/>
  <c r="C41" i="1"/>
  <c r="C43" i="1" s="1"/>
  <c r="C44" i="1" s="1"/>
  <c r="D35" i="1"/>
  <c r="D36" i="1" l="1"/>
  <c r="D41" i="1"/>
  <c r="D43" i="1" s="1"/>
  <c r="D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V13.2.1</author>
  </authors>
  <commentList>
    <comment ref="C8" authorId="0" shapeId="0" xr:uid="{00000000-0006-0000-0000-000001000000}">
      <text>
        <r>
          <rPr>
            <sz val="10"/>
            <color rgb="FF000000"/>
            <rFont val="Arial"/>
            <family val="2"/>
          </rPr>
          <t>Mục 6.2: X-WISE 5% + Quỹ An sinh 1% + Logistics 3% + MKT 3% + Overhead 2% = ~13%</t>
        </r>
      </text>
    </comment>
  </commentList>
</comments>
</file>

<file path=xl/sharedStrings.xml><?xml version="1.0" encoding="utf-8"?>
<sst xmlns="http://schemas.openxmlformats.org/spreadsheetml/2006/main" count="276" uniqueCount="238">
  <si>
    <t>CCB MART — BẢNG ĐIỀU HÀNH CEO (V13.2.1)</t>
  </si>
  <si>
    <t>Dựa trên MasterDoc V13.2.1 — Mục 7.3, 7.4, 7.14 | Đơn vị: VNĐ nếu không ghi khác</t>
  </si>
  <si>
    <t>THAM SỐ ĐẦU VÀO</t>
  </si>
  <si>
    <t>Giá 1 combo (VNĐ)</t>
  </si>
  <si>
    <t>COGS blended (%)</t>
  </si>
  <si>
    <t>% doanh thu CCB Mart qua kênh CTV</t>
  </si>
  <si>
    <t>Chi phí vận hành khác (X-WISE, logistics, MKT, overhead...)</t>
  </si>
  <si>
    <t>3 KỊCH BẢN HỆ THỐNG (tổ chức có 1 GĐKD)</t>
  </si>
  <si>
    <t>Chỉ tiêu</t>
  </si>
  <si>
    <t>TỐI THIỂU</t>
  </si>
  <si>
    <t>TIÊU CHUẨN</t>
  </si>
  <si>
    <t>MẠNH MẼ</t>
  </si>
  <si>
    <t>Ghi chú</t>
  </si>
  <si>
    <t>Số GĐKD</t>
  </si>
  <si>
    <t>Mỗi tổ chức 1 GĐKD</t>
  </si>
  <si>
    <t>Số GĐV</t>
  </si>
  <si>
    <t>Trực thuộc GĐKD</t>
  </si>
  <si>
    <t>Số TP</t>
  </si>
  <si>
    <t>Trực thuộc GĐV (hoặc GĐKD)</t>
  </si>
  <si>
    <t>Số PP</t>
  </si>
  <si>
    <t>Trực thuộc TP</t>
  </si>
  <si>
    <t>Số CTV</t>
  </si>
  <si>
    <t>Trực thuộc PP</t>
  </si>
  <si>
    <t>Combo bán cá nhân/người/tháng (combo)</t>
  </si>
  <si>
    <t>Combo GĐKD</t>
  </si>
  <si>
    <t>Combo GĐV</t>
  </si>
  <si>
    <t>Combo TP</t>
  </si>
  <si>
    <t>Combo PP</t>
  </si>
  <si>
    <t>Combo CTV</t>
  </si>
  <si>
    <t>TỔNG HỢP</t>
  </si>
  <si>
    <t>Tổng headcount (người)</t>
  </si>
  <si>
    <t>Tổng combo/tháng (combo)</t>
  </si>
  <si>
    <t>Doanh thu hệ thống</t>
  </si>
  <si>
    <t>COGS (50% doanh thu)</t>
  </si>
  <si>
    <t>CHI PHÍ KÊNH CTV (từ sheet Chi phí hệ thống)</t>
  </si>
  <si>
    <t>Tổng hoa hồng bán (HH)</t>
  </si>
  <si>
    <t>Tổng Thù lao DV duy trì</t>
  </si>
  <si>
    <t>Tổng Phí QL nhóm F1+F2+F3</t>
  </si>
  <si>
    <t>TỔNG CHI PHÍ KÊNH CTV</t>
  </si>
  <si>
    <t>% / Doanh thu kênh CTV (chuẩn V13.2: ≤45%)</t>
  </si>
  <si>
    <t>P&amp;L TÍNH NHANH (kênh CTV)</t>
  </si>
  <si>
    <t>Doanh thu</t>
  </si>
  <si>
    <t>(-) COGS 50%</t>
  </si>
  <si>
    <t>(-) Chi phí kênh CTV (HH+TL+F)</t>
  </si>
  <si>
    <t>(-) Vận hành khác (X-WISE+MKT+...)</t>
  </si>
  <si>
    <t>EBITDA ước tính</t>
  </si>
  <si>
    <t>EBITDA / Doanh thu (%) — mục tiêu 5-10%</t>
  </si>
  <si>
    <t>CẢNH BÁO &amp; KHUYẾN NGHỊ</t>
  </si>
  <si>
    <t>Nếu tổng chi phí kênh CTV vượt 45% doanh thu kênh → kích hoạt Soft Salary (Mục 7.8)</t>
  </si>
  <si>
    <t>Nếu tổng F1+F2+F3 vượt 18-20% doanh thu → kích hoạt Hệ số K 0.7-1.0 (Mục 7.9)</t>
  </si>
  <si>
    <t>EBITDA mục tiêu 5-10% (Mục 6.2 V13.2.1)</t>
  </si>
  <si>
    <t>CÔNG THỨC V13.2.1 — CHƯƠNG 7</t>
  </si>
  <si>
    <t>7.3. Bảng xếp hạng — Hoa hồng bán lẻ &amp; Thù lao DV duy trì</t>
  </si>
  <si>
    <t>Xếp hạng</t>
  </si>
  <si>
    <t>% HH bán lẻ</t>
  </si>
  <si>
    <t>Thù lao DV duy trì (VNĐ/tháng)</t>
  </si>
  <si>
    <t>Điều kiện duy trì</t>
  </si>
  <si>
    <t>CTV</t>
  </si>
  <si>
    <t>Không bắt buộc doanh số</t>
  </si>
  <si>
    <t>Cá nhân, không phí gia nhập</t>
  </si>
  <si>
    <t>PP</t>
  </si>
  <si>
    <t>50 combo/tháng</t>
  </si>
  <si>
    <t>Hộ KD</t>
  </si>
  <si>
    <t>TP</t>
  </si>
  <si>
    <t>50cb + nhóm ≥150cb</t>
  </si>
  <si>
    <t>GĐV</t>
  </si>
  <si>
    <t>Duy trì ĐK, log 20h/tháng</t>
  </si>
  <si>
    <t>GĐKD</t>
  </si>
  <si>
    <t>3 tháng → HĐLĐ</t>
  </si>
  <si>
    <t>HKD → HĐLĐ</t>
  </si>
  <si>
    <t>7.4. Phí quản lý trong nhóm (Cấp 1 / 2 / 3)</t>
  </si>
  <si>
    <t>Loại phí</t>
  </si>
  <si>
    <t>Người thụ hưởng</t>
  </si>
  <si>
    <t>Tỷ lệ</t>
  </si>
  <si>
    <t>Tính trên</t>
  </si>
  <si>
    <t>Điều kiện</t>
  </si>
  <si>
    <t>Cấp 1 (F1)</t>
  </si>
  <si>
    <t>Cấp trên trực tiếp (TP trở lên)</t>
  </si>
  <si>
    <t>Combo của cấp 1</t>
  </si>
  <si>
    <t>20h đào tạo/tháng + log hợp lệ</t>
  </si>
  <si>
    <t>Cấp 2 (F2)</t>
  </si>
  <si>
    <t>Cấp trên gián tiếp (GĐV trở lên)</t>
  </si>
  <si>
    <t>Combo của cấp 2</t>
  </si>
  <si>
    <t>Cấp 3 (F3)</t>
  </si>
  <si>
    <t>Cấp trên xa hơn (GĐKD)</t>
  </si>
  <si>
    <t>Combo của cấp 3</t>
  </si>
  <si>
    <t>Ví dụ 7.4: CTV E bán 100cb = 200tr</t>
  </si>
  <si>
    <t xml:space="preserve">  → D (TP, cấp 1) nhận 10% × 200tr = 20tr; C (GĐV, cấp 2) nhận 5% = 10tr; B (GĐKD, cấp 3) nhận 3% = 6tr</t>
  </si>
  <si>
    <t>Ma trận: Ai nhận phí gì?</t>
  </si>
  <si>
    <t>Vai trò</t>
  </si>
  <si>
    <t>Nhận HH</t>
  </si>
  <si>
    <t>Nhận Thù lao</t>
  </si>
  <si>
    <t>Nhận F1/F2/F3</t>
  </si>
  <si>
    <t>Có (20%)</t>
  </si>
  <si>
    <t>Không</t>
  </si>
  <si>
    <t>Chỉ bán cá nhân</t>
  </si>
  <si>
    <t>5tr</t>
  </si>
  <si>
    <t>KHÔNG nhận F</t>
  </si>
  <si>
    <t>PP không phải TP+</t>
  </si>
  <si>
    <t>Có (30%)</t>
  </si>
  <si>
    <t>10tr</t>
  </si>
  <si>
    <t>F1 ✓, F2 ✓, F3 ✗</t>
  </si>
  <si>
    <t>TP là TP+ và GĐV-</t>
  </si>
  <si>
    <t>Có (35%)</t>
  </si>
  <si>
    <t>18tr</t>
  </si>
  <si>
    <t>GĐV là GĐV+ nhưng không phải GĐKD</t>
  </si>
  <si>
    <t>Có (38%)</t>
  </si>
  <si>
    <t>30tr</t>
  </si>
  <si>
    <t>F1 ✓, F2 ✓, F3 ✓</t>
  </si>
  <si>
    <t>GĐKD nhận đủ 3 cấp</t>
  </si>
  <si>
    <t>7.8. Soft Salary (Điều tiết quỹ thù lao)</t>
  </si>
  <si>
    <t>Kích hoạt khi: Tổng quỹ Thù lao DV kênh CTV &gt; 5% doanh thu kênh CTV/tháng</t>
  </si>
  <si>
    <t>Cơ chế: Giảm thù lao cố định, bù bằng thù lao điều chỉnh theo hiệu suất đội nhóm</t>
  </si>
  <si>
    <t>7.9. Hệ số K (Điều tiết khi vượt ngân sách)</t>
  </si>
  <si>
    <t>Kích hoạt khi: F-fees + phí đào tạo &gt; ~18-20% doanh thu</t>
  </si>
  <si>
    <t>Áp K vào TẤT CẢ khoản chi, K = 0.7 → 1.0</t>
  </si>
  <si>
    <t>3 MÔ HÌNH CÂY ĐIỂN HÌNH — 1 TỔ CHỨC (1 GĐKD)</t>
  </si>
  <si>
    <t>HEADCOUNT 3 KỊCH BẢN</t>
  </si>
  <si>
    <t>Tối thiểu</t>
  </si>
  <si>
    <t>Tiêu chuẩn</t>
  </si>
  <si>
    <t>Mạnh mẽ</t>
  </si>
  <si>
    <t>Luôn 1 GĐKD/tổ chức</t>
  </si>
  <si>
    <t>GĐV (trực thuộc GĐKD)</t>
  </si>
  <si>
    <t>Cấp 1 của GĐKD</t>
  </si>
  <si>
    <t>TP (trực thuộc GĐV)</t>
  </si>
  <si>
    <t>Cấp 2 của GĐKD</t>
  </si>
  <si>
    <t>PP (trực thuộc TP)</t>
  </si>
  <si>
    <t>Cấp 3 của GĐKD</t>
  </si>
  <si>
    <t>CTV (trực thuộc PP)</t>
  </si>
  <si>
    <t>Cấp 4 — không sinh F cho GĐKD</t>
  </si>
  <si>
    <t>Tổng headcount</t>
  </si>
  <si>
    <t>Combo/người/tháng (CTV=10-30, khác=50-100)</t>
  </si>
  <si>
    <t>Tổng combo/tháng (hệ thống)</t>
  </si>
  <si>
    <t>Doanh thu hệ thống (VNĐ)</t>
  </si>
  <si>
    <t>SƠ ĐỒ CÂY (TIÊU CHUẨN)</t>
  </si>
  <si>
    <t xml:space="preserve">                      GĐKD (50cb)</t>
  </si>
  <si>
    <t xml:space="preserve">                        │</t>
  </si>
  <si>
    <t xml:space="preserve">         ┌──────┬───────┴──────┬──────┐</t>
  </si>
  <si>
    <t xml:space="preserve">       GĐV-1   GĐV-2         GĐV-3   GĐV-4       [4 GĐV × 50cb = 200cb cấp 1]</t>
  </si>
  <si>
    <t xml:space="preserve">         │      │              │       │</t>
  </si>
  <si>
    <t xml:space="preserve">       ┌─┴─┐  ┌─┴─┐          ┌─┴─┐   ┌─┴─┐</t>
  </si>
  <si>
    <t xml:space="preserve">      TP-1..8 (2 TP/GĐV)     [8 TP × 50cb = 400cb cấp 2]</t>
  </si>
  <si>
    <t xml:space="preserve">       │</t>
  </si>
  <si>
    <t xml:space="preserve">    ┌──┴──┐</t>
  </si>
  <si>
    <t xml:space="preserve">    PP-1..16 (2 PP/TP)        [16 PP × 50cb = 800cb cấp 3 — GĐKD nhận F3]</t>
  </si>
  <si>
    <t xml:space="preserve">     │</t>
  </si>
  <si>
    <t xml:space="preserve">   CTV-1..32 (2 CTV/PP)       [32 CTV × 10cb = 320cb — cấp 4, GĐKD không nhận]</t>
  </si>
  <si>
    <t>THU NHẬP MỘT NGƯỜI THEO VAI TRÒ &amp; KỊCH BẢN</t>
  </si>
  <si>
    <t>Tham số combo/cấp (từ sơ đồ cây đã dựng)</t>
  </si>
  <si>
    <t>Chỉ tiêu / Vai trò</t>
  </si>
  <si>
    <t>Công thức / Ghi chú</t>
  </si>
  <si>
    <t>CẤP 1 — CTV (tự bán, không thù lao, không F)</t>
  </si>
  <si>
    <t>Combo cá nhân/tháng</t>
  </si>
  <si>
    <t>Input (combo/CTV/tháng)</t>
  </si>
  <si>
    <t>HH bán (20%)</t>
  </si>
  <si>
    <t>20% × cb × giá</t>
  </si>
  <si>
    <t>TỔNG THU NHẬP CTV/THÁNG</t>
  </si>
  <si>
    <t>CẤP 2 — PP (HH + Thù lao; KHÔNG nhận F1/F2/F3)</t>
  </si>
  <si>
    <t>Input</t>
  </si>
  <si>
    <t>Thù lao DV duy trì</t>
  </si>
  <si>
    <t>Cố định 5tr (7.3)</t>
  </si>
  <si>
    <t>TỔNG THU NHẬP PP/THÁNG</t>
  </si>
  <si>
    <t>CẤP 3 — TP (HH + Thù lao + F1 + F2; KHÔNG nhận F3)</t>
  </si>
  <si>
    <t>Combo cá nhân TP/tháng</t>
  </si>
  <si>
    <t>Combo cấp 1 (PP trực thuộc + CTV direct)</t>
  </si>
  <si>
    <t>Tổng cb do cấp 1 của TP bán</t>
  </si>
  <si>
    <t>Combo cấp 2 (CTV qua PP)</t>
  </si>
  <si>
    <t>Tổng cb do cấp 2 của TP bán</t>
  </si>
  <si>
    <t>HH bán (30%)</t>
  </si>
  <si>
    <t>30% × cb cá nhân × giá</t>
  </si>
  <si>
    <t>Cố định 10tr (7.3)</t>
  </si>
  <si>
    <t>F1 (10% × cấp 1)</t>
  </si>
  <si>
    <t>10% × cb cấp 1 × giá</t>
  </si>
  <si>
    <t>F2 (5% × cấp 2)</t>
  </si>
  <si>
    <t>5% × cb cấp 2 × giá</t>
  </si>
  <si>
    <t>F3</t>
  </si>
  <si>
    <t>TP không phải GĐKD → không nhận</t>
  </si>
  <si>
    <t>TỔNG THU NHẬP TP/THÁNG</t>
  </si>
  <si>
    <t>CẤP 4 — GĐV (HH + Thù lao + F1 + F2; KHÔNG nhận F3)</t>
  </si>
  <si>
    <t>Combo cá nhân GĐV/tháng</t>
  </si>
  <si>
    <t>Combo cấp 1 (TP/PP direct dưới GĐV)</t>
  </si>
  <si>
    <t>Combo cấp 2 (PP/CTV dưới TP)</t>
  </si>
  <si>
    <t>HH bán (35%)</t>
  </si>
  <si>
    <t>Cố định 18tr (7.3 V13.2.1)</t>
  </si>
  <si>
    <t>GĐV không phải GĐKD → không nhận</t>
  </si>
  <si>
    <t>TỔNG THU NHẬP GĐV/THÁNG</t>
  </si>
  <si>
    <t>CẤP 5 — GĐKD (HH + Thù lao + F1 + F2 + F3)</t>
  </si>
  <si>
    <t>Combo cá nhân GĐKD/tháng</t>
  </si>
  <si>
    <t>Combo cấp 1 (GĐV direct)</t>
  </si>
  <si>
    <t>Combo cấp 2 (TP qua GĐV)</t>
  </si>
  <si>
    <t>Combo cấp 3 (PP qua TP)</t>
  </si>
  <si>
    <t>HH bán (38%)</t>
  </si>
  <si>
    <t>Cố định 30tr (7.3)</t>
  </si>
  <si>
    <t>F3 (3% × cấp 3)</t>
  </si>
  <si>
    <t>TỔNG THU NHẬP GĐKD/THÁNG</t>
  </si>
  <si>
    <t>TỔNG CHI PHÍ KÊNH CTV — 3 KỊCH BẢN</t>
  </si>
  <si>
    <t>Khoản mục</t>
  </si>
  <si>
    <t>Cách tính</t>
  </si>
  <si>
    <t>% DT</t>
  </si>
  <si>
    <t>1. HOA HỒNG BÁN LẺ</t>
  </si>
  <si>
    <t>HH CTV (20%)</t>
  </si>
  <si>
    <t>20% × CTV_count × CTV_cb × price</t>
  </si>
  <si>
    <t>HH PP (20%)</t>
  </si>
  <si>
    <t>20% × PP × PP_cb × price</t>
  </si>
  <si>
    <t>HH TP (30%)</t>
  </si>
  <si>
    <t>30% × TP × TP_cb × price</t>
  </si>
  <si>
    <t>HH GĐV (35%)</t>
  </si>
  <si>
    <t>35% × GĐV × GĐV_cb × price</t>
  </si>
  <si>
    <t>HH GĐKD (38%)</t>
  </si>
  <si>
    <t>38% × 1 × GĐKD_cb × price</t>
  </si>
  <si>
    <t>TỔNG HOA HỒNG BÁN</t>
  </si>
  <si>
    <t>2. THÙ LAO DV DUY TRÌ</t>
  </si>
  <si>
    <t>Thù lao PP (5tr)</t>
  </si>
  <si>
    <t>5tr × PP_count</t>
  </si>
  <si>
    <t>Thù lao TP (10tr)</t>
  </si>
  <si>
    <t>10tr × TP_count</t>
  </si>
  <si>
    <t>Thù lao GĐV (18tr)</t>
  </si>
  <si>
    <t>18tr × GĐV_count</t>
  </si>
  <si>
    <t>Thù lao GĐKD (30tr)</t>
  </si>
  <si>
    <t>30tr × GĐKD_count</t>
  </si>
  <si>
    <t>TỔNG THÙ LAO DV DUY TRÌ</t>
  </si>
  <si>
    <t>3. PHÍ QUẢN LÝ NHÓM (F1/F2/F3)</t>
  </si>
  <si>
    <t>F1 từ GĐV → GĐKD (10%)</t>
  </si>
  <si>
    <t>10% × GĐV_count × GĐV_cb × price</t>
  </si>
  <si>
    <t>F1 từ TP → GĐV (10%)</t>
  </si>
  <si>
    <t>10% × TP_count × TP_cb × price</t>
  </si>
  <si>
    <t>F1 từ PP → TP (10%)</t>
  </si>
  <si>
    <t>10% × PP_count × PP_cb × price</t>
  </si>
  <si>
    <t>F2 từ TP → GĐKD (5%)</t>
  </si>
  <si>
    <t>5% × TP_count × TP_cb × price</t>
  </si>
  <si>
    <t>F2 từ PP → GĐV (5%)</t>
  </si>
  <si>
    <t>5% × PP_count × PP_cb × price</t>
  </si>
  <si>
    <t>F3 từ PP → GĐKD (3%)</t>
  </si>
  <si>
    <t>3% × PP_count × PP_cb × price</t>
  </si>
  <si>
    <t>Từ CTV: 0 (PP không nhận F → F1 mất, chuỗi đứt)</t>
  </si>
  <si>
    <t>0 — theo quy tắc 7.4</t>
  </si>
  <si>
    <t>TỔNG PHÍ F1+F2+F3</t>
  </si>
  <si>
    <t>HH + Thù lao + F1+F2+F3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</si>
</sst>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3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7F7F7F"/>
      <name val="Arial"/>
      <charset val="1"/>
    </font>
    <font>
      <b/>
      <sz val="11"/>
      <color rgb="FF000000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800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0"/>
      <name val="Courier New"/>
      <charset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1" fillId="0" borderId="0" xfId="0" applyFont="1" applyBorder="1"/>
    <xf numFmtId="0" fontId="4" fillId="0" borderId="2" xfId="0" applyFont="1" applyBorder="1" applyAlignment="1">
      <alignment horizontal="left" vertical="center" wrapText="1"/>
    </xf>
    <xf numFmtId="0" fontId="10" fillId="0" borderId="0" xfId="0" applyFont="1" applyBorder="1"/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3" fontId="9" fillId="5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0" fillId="0" borderId="1" xfId="0" applyBorder="1"/>
    <xf numFmtId="165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217" zoomScaleNormal="217" workbookViewId="0">
      <selection activeCell="I21" sqref="I21"/>
    </sheetView>
  </sheetViews>
  <sheetFormatPr baseColWidth="10" defaultColWidth="8.6640625" defaultRowHeight="15" x14ac:dyDescent="0.2"/>
  <cols>
    <col min="1" max="1" width="4" customWidth="1"/>
    <col min="2" max="2" width="42" customWidth="1"/>
    <col min="3" max="5" width="22" customWidth="1"/>
    <col min="6" max="6" width="30" customWidth="1"/>
  </cols>
  <sheetData>
    <row r="1" spans="1:6" ht="17.25" customHeight="1" x14ac:dyDescent="0.2">
      <c r="A1" s="7" t="s">
        <v>0</v>
      </c>
      <c r="B1" s="7"/>
      <c r="C1" s="7"/>
      <c r="D1" s="7"/>
      <c r="E1" s="7"/>
      <c r="F1" s="7"/>
    </row>
    <row r="2" spans="1:6" ht="15" customHeight="1" x14ac:dyDescent="0.2">
      <c r="A2" s="6" t="s">
        <v>1</v>
      </c>
      <c r="B2" s="6"/>
      <c r="C2" s="6"/>
      <c r="D2" s="6"/>
      <c r="E2" s="6"/>
      <c r="F2" s="6"/>
    </row>
    <row r="4" spans="1:6" ht="15" customHeight="1" x14ac:dyDescent="0.2">
      <c r="A4" s="5" t="s">
        <v>2</v>
      </c>
      <c r="B4" s="5"/>
      <c r="C4" s="5"/>
      <c r="D4" s="5"/>
      <c r="E4" s="5"/>
      <c r="F4" s="5"/>
    </row>
    <row r="5" spans="1:6" x14ac:dyDescent="0.2">
      <c r="B5" s="8" t="s">
        <v>3</v>
      </c>
      <c r="C5" s="9">
        <v>2000000</v>
      </c>
    </row>
    <row r="6" spans="1:6" x14ac:dyDescent="0.2">
      <c r="B6" s="8" t="s">
        <v>4</v>
      </c>
      <c r="C6" s="10">
        <v>0.4</v>
      </c>
    </row>
    <row r="7" spans="1:6" x14ac:dyDescent="0.2">
      <c r="B7" s="8" t="s">
        <v>5</v>
      </c>
      <c r="C7" s="10">
        <v>0.6</v>
      </c>
    </row>
    <row r="8" spans="1:6" ht="30" x14ac:dyDescent="0.2">
      <c r="B8" s="8" t="s">
        <v>6</v>
      </c>
      <c r="C8" s="10">
        <v>0.13</v>
      </c>
    </row>
    <row r="10" spans="1:6" ht="15" customHeight="1" x14ac:dyDescent="0.2">
      <c r="A10" s="5" t="s">
        <v>7</v>
      </c>
      <c r="B10" s="5"/>
      <c r="C10" s="5"/>
      <c r="D10" s="5"/>
      <c r="E10" s="5"/>
      <c r="F10" s="5"/>
    </row>
    <row r="11" spans="1:6" x14ac:dyDescent="0.2">
      <c r="B11" s="11" t="s">
        <v>8</v>
      </c>
      <c r="C11" s="11" t="s">
        <v>9</v>
      </c>
      <c r="D11" s="11" t="s">
        <v>10</v>
      </c>
      <c r="E11" s="11" t="s">
        <v>11</v>
      </c>
      <c r="F11" s="11" t="s">
        <v>12</v>
      </c>
    </row>
    <row r="12" spans="1:6" x14ac:dyDescent="0.2">
      <c r="B12" s="8" t="s">
        <v>13</v>
      </c>
      <c r="C12" s="12">
        <v>1</v>
      </c>
      <c r="D12" s="12">
        <v>1</v>
      </c>
      <c r="E12" s="12">
        <v>1</v>
      </c>
      <c r="F12" s="8" t="s">
        <v>14</v>
      </c>
    </row>
    <row r="13" spans="1:6" x14ac:dyDescent="0.2">
      <c r="B13" s="8" t="s">
        <v>15</v>
      </c>
      <c r="C13" s="12">
        <v>2</v>
      </c>
      <c r="D13" s="12">
        <v>4</v>
      </c>
      <c r="E13" s="12">
        <v>6</v>
      </c>
      <c r="F13" s="8" t="s">
        <v>16</v>
      </c>
    </row>
    <row r="14" spans="1:6" x14ac:dyDescent="0.2">
      <c r="B14" s="8" t="s">
        <v>17</v>
      </c>
      <c r="C14" s="12">
        <v>4</v>
      </c>
      <c r="D14" s="12">
        <v>8</v>
      </c>
      <c r="E14" s="12">
        <v>12</v>
      </c>
      <c r="F14" s="8" t="s">
        <v>18</v>
      </c>
    </row>
    <row r="15" spans="1:6" x14ac:dyDescent="0.2">
      <c r="B15" s="8" t="s">
        <v>19</v>
      </c>
      <c r="C15" s="12">
        <v>8</v>
      </c>
      <c r="D15" s="12">
        <v>16</v>
      </c>
      <c r="E15" s="12">
        <v>24</v>
      </c>
      <c r="F15" s="8" t="s">
        <v>20</v>
      </c>
    </row>
    <row r="16" spans="1:6" x14ac:dyDescent="0.2">
      <c r="B16" s="8" t="s">
        <v>21</v>
      </c>
      <c r="C16" s="12">
        <v>16</v>
      </c>
      <c r="D16" s="12">
        <v>32</v>
      </c>
      <c r="E16" s="12">
        <v>48</v>
      </c>
      <c r="F16" s="8" t="s">
        <v>22</v>
      </c>
    </row>
    <row r="18" spans="1:6" ht="15" customHeight="1" x14ac:dyDescent="0.2">
      <c r="A18" s="5" t="s">
        <v>23</v>
      </c>
      <c r="B18" s="5"/>
      <c r="C18" s="5"/>
      <c r="D18" s="5"/>
      <c r="E18" s="5"/>
      <c r="F18" s="5"/>
    </row>
    <row r="19" spans="1:6" x14ac:dyDescent="0.2">
      <c r="B19" s="8" t="s">
        <v>24</v>
      </c>
      <c r="C19" s="12">
        <v>50</v>
      </c>
      <c r="D19" s="12">
        <v>50</v>
      </c>
      <c r="E19" s="12">
        <v>100</v>
      </c>
    </row>
    <row r="20" spans="1:6" x14ac:dyDescent="0.2">
      <c r="B20" s="8" t="s">
        <v>25</v>
      </c>
      <c r="C20" s="12">
        <v>50</v>
      </c>
      <c r="D20" s="12">
        <v>50</v>
      </c>
      <c r="E20" s="12">
        <v>100</v>
      </c>
    </row>
    <row r="21" spans="1:6" x14ac:dyDescent="0.2">
      <c r="B21" s="8" t="s">
        <v>26</v>
      </c>
      <c r="C21" s="12">
        <v>50</v>
      </c>
      <c r="D21" s="12">
        <v>50</v>
      </c>
      <c r="E21" s="12">
        <v>100</v>
      </c>
    </row>
    <row r="22" spans="1:6" x14ac:dyDescent="0.2">
      <c r="B22" s="8" t="s">
        <v>27</v>
      </c>
      <c r="C22" s="12">
        <v>50</v>
      </c>
      <c r="D22" s="12">
        <v>50</v>
      </c>
      <c r="E22" s="12">
        <v>100</v>
      </c>
    </row>
    <row r="23" spans="1:6" x14ac:dyDescent="0.2">
      <c r="B23" s="8" t="s">
        <v>28</v>
      </c>
      <c r="C23" s="12">
        <v>10</v>
      </c>
      <c r="D23" s="12">
        <v>10</v>
      </c>
      <c r="E23" s="12">
        <v>30</v>
      </c>
    </row>
    <row r="25" spans="1:6" ht="15" customHeight="1" x14ac:dyDescent="0.2">
      <c r="A25" s="5" t="s">
        <v>29</v>
      </c>
      <c r="B25" s="5"/>
      <c r="C25" s="5"/>
      <c r="D25" s="5"/>
      <c r="E25" s="5"/>
      <c r="F25" s="5"/>
    </row>
    <row r="26" spans="1:6" x14ac:dyDescent="0.2">
      <c r="B26" s="8" t="s">
        <v>30</v>
      </c>
      <c r="C26" s="13">
        <f>SUM(C12:C16)</f>
        <v>31</v>
      </c>
      <c r="D26" s="13">
        <f>SUM(D12:D16)</f>
        <v>61</v>
      </c>
      <c r="E26" s="13">
        <f>SUM(E12:E16)</f>
        <v>91</v>
      </c>
    </row>
    <row r="27" spans="1:6" x14ac:dyDescent="0.2">
      <c r="B27" s="8" t="s">
        <v>31</v>
      </c>
      <c r="C27" s="13">
        <f>C12*C19+C13*C20+C14*C21+C15*C22+C16*C23</f>
        <v>910</v>
      </c>
      <c r="D27" s="13">
        <f>D12*D19+D13*D20+D14*D21+D15*D22+D16*D23</f>
        <v>1770</v>
      </c>
      <c r="E27" s="13">
        <f>E12*E19+E13*E20+E14*E21+E15*E22+E16*E23</f>
        <v>5740</v>
      </c>
    </row>
    <row r="28" spans="1:6" x14ac:dyDescent="0.2">
      <c r="B28" s="8" t="s">
        <v>32</v>
      </c>
      <c r="C28" s="14">
        <f>C27*$C$5</f>
        <v>1820000000</v>
      </c>
      <c r="D28" s="14">
        <f>D27*$C$5</f>
        <v>3540000000</v>
      </c>
      <c r="E28" s="14">
        <f>E27*$C$5</f>
        <v>11480000000</v>
      </c>
    </row>
    <row r="29" spans="1:6" x14ac:dyDescent="0.2">
      <c r="B29" s="8" t="s">
        <v>33</v>
      </c>
      <c r="C29" s="14">
        <f>C28*$C$6</f>
        <v>728000000</v>
      </c>
      <c r="D29" s="14">
        <f>D28*$C$6</f>
        <v>1416000000</v>
      </c>
      <c r="E29" s="14">
        <f>E28*$C$6</f>
        <v>4592000000</v>
      </c>
    </row>
    <row r="31" spans="1:6" ht="15" customHeight="1" x14ac:dyDescent="0.2">
      <c r="A31" s="5" t="s">
        <v>34</v>
      </c>
      <c r="B31" s="5"/>
      <c r="C31" s="5"/>
      <c r="D31" s="5"/>
      <c r="E31" s="5"/>
      <c r="F31" s="5"/>
    </row>
    <row r="32" spans="1:6" x14ac:dyDescent="0.2">
      <c r="B32" s="8" t="s">
        <v>35</v>
      </c>
      <c r="C32" s="15">
        <f>'Chi phí hệ thống'!D24</f>
        <v>452000000</v>
      </c>
      <c r="D32" s="15">
        <f>'Chi phí hệ thống'!F24</f>
        <v>866000000</v>
      </c>
      <c r="E32" s="15">
        <f>'Chi phí hệ thống'!H24</f>
        <v>2752000000</v>
      </c>
    </row>
    <row r="33" spans="1:6" x14ac:dyDescent="0.2">
      <c r="B33" s="8" t="s">
        <v>36</v>
      </c>
      <c r="C33" s="15">
        <f>'Chi phí hệ thống'!D32</f>
        <v>146000000</v>
      </c>
      <c r="D33" s="15">
        <f>'Chi phí hệ thống'!F32</f>
        <v>262000000</v>
      </c>
      <c r="E33" s="15">
        <f>'Chi phí hệ thống'!H32</f>
        <v>378000000</v>
      </c>
    </row>
    <row r="34" spans="1:6" x14ac:dyDescent="0.2">
      <c r="B34" s="8" t="s">
        <v>37</v>
      </c>
      <c r="C34" s="15">
        <f>'Chi phí hệ thống'!D44</f>
        <v>224000000</v>
      </c>
      <c r="D34" s="15">
        <f>'Chi phí hệ thống'!F44</f>
        <v>448000000</v>
      </c>
      <c r="E34" s="15">
        <f>'Chi phí hệ thống'!H44</f>
        <v>1344000000.0000002</v>
      </c>
    </row>
    <row r="35" spans="1:6" x14ac:dyDescent="0.2">
      <c r="B35" s="8" t="s">
        <v>38</v>
      </c>
      <c r="C35" s="16">
        <f>SUM(C32:C34)</f>
        <v>822000000</v>
      </c>
      <c r="D35" s="16">
        <f>SUM(D32:D34)</f>
        <v>1576000000</v>
      </c>
      <c r="E35" s="16">
        <f>SUM(E32:E34)</f>
        <v>4474000000</v>
      </c>
    </row>
    <row r="36" spans="1:6" x14ac:dyDescent="0.2">
      <c r="B36" s="8" t="s">
        <v>39</v>
      </c>
      <c r="C36" s="17">
        <f>IFERROR(C35/C28,0)</f>
        <v>0.45164835164835165</v>
      </c>
      <c r="D36" s="17">
        <f>IFERROR(D35/D28,0)</f>
        <v>0.44519774011299434</v>
      </c>
      <c r="E36" s="17">
        <f>IFERROR(E35/E28,0)</f>
        <v>0.38972125435540067</v>
      </c>
    </row>
    <row r="38" spans="1:6" ht="15" customHeight="1" x14ac:dyDescent="0.2">
      <c r="A38" s="5" t="s">
        <v>40</v>
      </c>
      <c r="B38" s="5"/>
      <c r="C38" s="5"/>
      <c r="D38" s="5"/>
      <c r="E38" s="5"/>
      <c r="F38" s="5"/>
    </row>
    <row r="39" spans="1:6" x14ac:dyDescent="0.2">
      <c r="B39" s="8" t="s">
        <v>41</v>
      </c>
      <c r="C39" s="14">
        <f>C28</f>
        <v>1820000000</v>
      </c>
      <c r="D39" s="14">
        <f>D28</f>
        <v>3540000000</v>
      </c>
      <c r="E39" s="14">
        <f>E28</f>
        <v>11480000000</v>
      </c>
    </row>
    <row r="40" spans="1:6" x14ac:dyDescent="0.2">
      <c r="B40" s="8" t="s">
        <v>42</v>
      </c>
      <c r="C40" s="14">
        <f>-C29</f>
        <v>-728000000</v>
      </c>
      <c r="D40" s="14">
        <f>-D29</f>
        <v>-1416000000</v>
      </c>
      <c r="E40" s="14">
        <f>-E29</f>
        <v>-4592000000</v>
      </c>
    </row>
    <row r="41" spans="1:6" x14ac:dyDescent="0.2">
      <c r="B41" s="8" t="s">
        <v>43</v>
      </c>
      <c r="C41" s="14">
        <f>-C35</f>
        <v>-822000000</v>
      </c>
      <c r="D41" s="14">
        <f>-D35</f>
        <v>-1576000000</v>
      </c>
      <c r="E41" s="14">
        <f>-E35</f>
        <v>-4474000000</v>
      </c>
    </row>
    <row r="42" spans="1:6" x14ac:dyDescent="0.2">
      <c r="B42" s="8" t="s">
        <v>44</v>
      </c>
      <c r="C42" s="14">
        <f>-C28*$C$8</f>
        <v>-236600000</v>
      </c>
      <c r="D42" s="14">
        <f>-D28*$C$8</f>
        <v>-460200000</v>
      </c>
      <c r="E42" s="14">
        <f>-E28*$C$8</f>
        <v>-1492400000</v>
      </c>
    </row>
    <row r="43" spans="1:6" x14ac:dyDescent="0.2">
      <c r="B43" s="8" t="s">
        <v>45</v>
      </c>
      <c r="C43" s="16">
        <f>SUM(C39:C42)</f>
        <v>33400000</v>
      </c>
      <c r="D43" s="16">
        <f>SUM(D39:D42)</f>
        <v>87800000</v>
      </c>
      <c r="E43" s="16">
        <f>SUM(E39:E42)</f>
        <v>921600000</v>
      </c>
    </row>
    <row r="44" spans="1:6" x14ac:dyDescent="0.2">
      <c r="B44" s="8" t="s">
        <v>46</v>
      </c>
      <c r="C44" s="17">
        <f>IFERROR(C43/C39,0)</f>
        <v>1.8351648351648351E-2</v>
      </c>
      <c r="D44" s="17">
        <f>IFERROR(D43/D39,0)</f>
        <v>2.480225988700565E-2</v>
      </c>
      <c r="E44" s="17">
        <f>IFERROR(E43/E39,0)</f>
        <v>8.0278745644599303E-2</v>
      </c>
    </row>
    <row r="46" spans="1:6" ht="15" customHeight="1" x14ac:dyDescent="0.2">
      <c r="A46" s="5" t="s">
        <v>47</v>
      </c>
      <c r="B46" s="5"/>
      <c r="C46" s="5"/>
      <c r="D46" s="5"/>
      <c r="E46" s="5"/>
      <c r="F46" s="5"/>
    </row>
    <row r="47" spans="1:6" ht="15" customHeight="1" x14ac:dyDescent="0.2">
      <c r="B47" s="4" t="s">
        <v>48</v>
      </c>
      <c r="C47" s="4"/>
      <c r="D47" s="4"/>
      <c r="E47" s="4"/>
      <c r="F47" s="4"/>
    </row>
    <row r="48" spans="1:6" ht="15" customHeight="1" x14ac:dyDescent="0.2">
      <c r="B48" s="4" t="s">
        <v>49</v>
      </c>
      <c r="C48" s="4"/>
      <c r="D48" s="4"/>
      <c r="E48" s="4"/>
      <c r="F48" s="4"/>
    </row>
    <row r="49" spans="2:6" ht="15" customHeight="1" x14ac:dyDescent="0.2">
      <c r="B49" s="4" t="s">
        <v>50</v>
      </c>
      <c r="C49" s="4"/>
      <c r="D49" s="4"/>
      <c r="E49" s="4"/>
      <c r="F49" s="4"/>
    </row>
  </sheetData>
  <mergeCells count="12">
    <mergeCell ref="B48:F48"/>
    <mergeCell ref="B49:F49"/>
    <mergeCell ref="A25:F25"/>
    <mergeCell ref="A31:F31"/>
    <mergeCell ref="A38:F38"/>
    <mergeCell ref="A46:F46"/>
    <mergeCell ref="B47:F47"/>
    <mergeCell ref="A1:F1"/>
    <mergeCell ref="A2:F2"/>
    <mergeCell ref="A4:F4"/>
    <mergeCell ref="A10:F10"/>
    <mergeCell ref="A18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zoomScaleNormal="100" workbookViewId="0"/>
  </sheetViews>
  <sheetFormatPr baseColWidth="10" defaultColWidth="8.6640625" defaultRowHeight="15" x14ac:dyDescent="0.2"/>
  <cols>
    <col min="1" max="2" width="22" customWidth="1"/>
    <col min="3" max="3" width="15" customWidth="1"/>
    <col min="4" max="4" width="28" customWidth="1"/>
    <col min="5" max="5" width="32" customWidth="1"/>
  </cols>
  <sheetData>
    <row r="1" spans="1:5" ht="17.25" customHeight="1" x14ac:dyDescent="0.2">
      <c r="A1" s="7" t="s">
        <v>51</v>
      </c>
      <c r="B1" s="7"/>
      <c r="C1" s="7"/>
      <c r="D1" s="7"/>
      <c r="E1" s="7"/>
    </row>
    <row r="3" spans="1:5" ht="15" customHeight="1" x14ac:dyDescent="0.2">
      <c r="A3" s="5" t="s">
        <v>52</v>
      </c>
      <c r="B3" s="5"/>
      <c r="C3" s="5"/>
      <c r="D3" s="5"/>
      <c r="E3" s="5"/>
    </row>
    <row r="4" spans="1:5" ht="30" x14ac:dyDescent="0.2">
      <c r="A4" s="11" t="s">
        <v>53</v>
      </c>
      <c r="B4" s="11" t="s">
        <v>54</v>
      </c>
      <c r="C4" s="11" t="s">
        <v>55</v>
      </c>
      <c r="D4" s="11" t="s">
        <v>56</v>
      </c>
      <c r="E4" s="11" t="s">
        <v>12</v>
      </c>
    </row>
    <row r="5" spans="1:5" x14ac:dyDescent="0.2">
      <c r="A5" s="8" t="s">
        <v>57</v>
      </c>
      <c r="B5" s="18">
        <v>0.2</v>
      </c>
      <c r="C5" s="19">
        <v>0</v>
      </c>
      <c r="D5" s="8" t="s">
        <v>58</v>
      </c>
      <c r="E5" s="8" t="s">
        <v>59</v>
      </c>
    </row>
    <row r="6" spans="1:5" x14ac:dyDescent="0.2">
      <c r="A6" s="8" t="s">
        <v>60</v>
      </c>
      <c r="B6" s="18">
        <v>0.2</v>
      </c>
      <c r="C6" s="19">
        <v>5000000</v>
      </c>
      <c r="D6" s="8" t="s">
        <v>61</v>
      </c>
      <c r="E6" s="8" t="s">
        <v>62</v>
      </c>
    </row>
    <row r="7" spans="1:5" x14ac:dyDescent="0.2">
      <c r="A7" s="8" t="s">
        <v>63</v>
      </c>
      <c r="B7" s="18">
        <v>0.3</v>
      </c>
      <c r="C7" s="19">
        <v>10000000</v>
      </c>
      <c r="D7" s="8" t="s">
        <v>64</v>
      </c>
      <c r="E7" s="8" t="s">
        <v>62</v>
      </c>
    </row>
    <row r="8" spans="1:5" x14ac:dyDescent="0.2">
      <c r="A8" s="8" t="s">
        <v>65</v>
      </c>
      <c r="B8" s="18">
        <v>0.35</v>
      </c>
      <c r="C8" s="19">
        <v>18000000</v>
      </c>
      <c r="D8" s="8" t="s">
        <v>66</v>
      </c>
      <c r="E8" s="8" t="s">
        <v>62</v>
      </c>
    </row>
    <row r="9" spans="1:5" x14ac:dyDescent="0.2">
      <c r="A9" s="8" t="s">
        <v>67</v>
      </c>
      <c r="B9" s="18">
        <v>0.38</v>
      </c>
      <c r="C9" s="19">
        <v>30000000</v>
      </c>
      <c r="D9" s="8" t="s">
        <v>68</v>
      </c>
      <c r="E9" s="8" t="s">
        <v>69</v>
      </c>
    </row>
    <row r="11" spans="1:5" ht="15" customHeight="1" x14ac:dyDescent="0.2">
      <c r="A11" s="5" t="s">
        <v>70</v>
      </c>
      <c r="B11" s="5"/>
      <c r="C11" s="5"/>
      <c r="D11" s="5"/>
      <c r="E11" s="5"/>
    </row>
    <row r="12" spans="1:5" x14ac:dyDescent="0.2">
      <c r="A12" s="11" t="s">
        <v>71</v>
      </c>
      <c r="B12" s="11" t="s">
        <v>72</v>
      </c>
      <c r="C12" s="11" t="s">
        <v>73</v>
      </c>
      <c r="D12" s="11" t="s">
        <v>74</v>
      </c>
      <c r="E12" s="11" t="s">
        <v>75</v>
      </c>
    </row>
    <row r="13" spans="1:5" ht="30" x14ac:dyDescent="0.2">
      <c r="A13" s="8" t="s">
        <v>76</v>
      </c>
      <c r="B13" s="8" t="s">
        <v>77</v>
      </c>
      <c r="C13" s="18">
        <v>0.1</v>
      </c>
      <c r="D13" s="8" t="s">
        <v>78</v>
      </c>
      <c r="E13" s="8" t="s">
        <v>79</v>
      </c>
    </row>
    <row r="14" spans="1:5" ht="30" x14ac:dyDescent="0.2">
      <c r="A14" s="8" t="s">
        <v>80</v>
      </c>
      <c r="B14" s="8" t="s">
        <v>81</v>
      </c>
      <c r="C14" s="18">
        <v>0.05</v>
      </c>
      <c r="D14" s="8" t="s">
        <v>82</v>
      </c>
      <c r="E14" s="8" t="s">
        <v>79</v>
      </c>
    </row>
    <row r="15" spans="1:5" x14ac:dyDescent="0.2">
      <c r="A15" s="8" t="s">
        <v>83</v>
      </c>
      <c r="B15" s="8" t="s">
        <v>84</v>
      </c>
      <c r="C15" s="18">
        <v>0.03</v>
      </c>
      <c r="D15" s="8" t="s">
        <v>85</v>
      </c>
      <c r="E15" s="8" t="s">
        <v>79</v>
      </c>
    </row>
    <row r="17" spans="1:5" x14ac:dyDescent="0.2">
      <c r="A17" s="3" t="s">
        <v>86</v>
      </c>
      <c r="B17" s="3"/>
      <c r="C17" s="3"/>
      <c r="D17" s="3"/>
      <c r="E17" s="3"/>
    </row>
    <row r="18" spans="1:5" x14ac:dyDescent="0.2">
      <c r="A18" s="3" t="s">
        <v>87</v>
      </c>
      <c r="B18" s="3"/>
      <c r="C18" s="3"/>
      <c r="D18" s="3"/>
      <c r="E18" s="3"/>
    </row>
    <row r="20" spans="1:5" ht="15" customHeight="1" x14ac:dyDescent="0.2">
      <c r="A20" s="5" t="s">
        <v>88</v>
      </c>
      <c r="B20" s="5"/>
      <c r="C20" s="5"/>
      <c r="D20" s="5"/>
      <c r="E20" s="5"/>
    </row>
    <row r="21" spans="1:5" x14ac:dyDescent="0.2">
      <c r="A21" s="11" t="s">
        <v>89</v>
      </c>
      <c r="B21" s="11" t="s">
        <v>90</v>
      </c>
      <c r="C21" s="11" t="s">
        <v>91</v>
      </c>
      <c r="D21" s="11" t="s">
        <v>92</v>
      </c>
      <c r="E21" s="11" t="s">
        <v>75</v>
      </c>
    </row>
    <row r="22" spans="1:5" x14ac:dyDescent="0.2">
      <c r="A22" s="8" t="s">
        <v>57</v>
      </c>
      <c r="B22" s="8" t="s">
        <v>93</v>
      </c>
      <c r="C22" s="8" t="s">
        <v>94</v>
      </c>
      <c r="D22" s="8" t="s">
        <v>94</v>
      </c>
      <c r="E22" s="8" t="s">
        <v>95</v>
      </c>
    </row>
    <row r="23" spans="1:5" x14ac:dyDescent="0.2">
      <c r="A23" s="8" t="s">
        <v>60</v>
      </c>
      <c r="B23" s="8" t="s">
        <v>93</v>
      </c>
      <c r="C23" s="8" t="s">
        <v>96</v>
      </c>
      <c r="D23" s="8" t="s">
        <v>97</v>
      </c>
      <c r="E23" s="8" t="s">
        <v>98</v>
      </c>
    </row>
    <row r="24" spans="1:5" x14ac:dyDescent="0.2">
      <c r="A24" s="8" t="s">
        <v>63</v>
      </c>
      <c r="B24" s="8" t="s">
        <v>99</v>
      </c>
      <c r="C24" s="8" t="s">
        <v>100</v>
      </c>
      <c r="D24" s="8" t="s">
        <v>101</v>
      </c>
      <c r="E24" s="8" t="s">
        <v>102</v>
      </c>
    </row>
    <row r="25" spans="1:5" ht="30" x14ac:dyDescent="0.2">
      <c r="A25" s="8" t="s">
        <v>65</v>
      </c>
      <c r="B25" s="8" t="s">
        <v>103</v>
      </c>
      <c r="C25" s="8" t="s">
        <v>104</v>
      </c>
      <c r="D25" s="8" t="s">
        <v>101</v>
      </c>
      <c r="E25" s="8" t="s">
        <v>105</v>
      </c>
    </row>
    <row r="26" spans="1:5" x14ac:dyDescent="0.2">
      <c r="A26" s="8" t="s">
        <v>67</v>
      </c>
      <c r="B26" s="8" t="s">
        <v>106</v>
      </c>
      <c r="C26" s="8" t="s">
        <v>107</v>
      </c>
      <c r="D26" s="8" t="s">
        <v>108</v>
      </c>
      <c r="E26" s="8" t="s">
        <v>109</v>
      </c>
    </row>
    <row r="29" spans="1:5" ht="15" customHeight="1" x14ac:dyDescent="0.2">
      <c r="A29" s="5" t="s">
        <v>110</v>
      </c>
      <c r="B29" s="5"/>
      <c r="C29" s="5"/>
      <c r="D29" s="5"/>
      <c r="E29" s="5"/>
    </row>
    <row r="30" spans="1:5" ht="15" customHeight="1" x14ac:dyDescent="0.2">
      <c r="A30" s="2" t="s">
        <v>111</v>
      </c>
      <c r="B30" s="2"/>
      <c r="C30" s="2"/>
      <c r="D30" s="2"/>
      <c r="E30" s="2"/>
    </row>
    <row r="31" spans="1:5" ht="15" customHeight="1" x14ac:dyDescent="0.2">
      <c r="A31" s="2" t="s">
        <v>112</v>
      </c>
      <c r="B31" s="2"/>
      <c r="C31" s="2"/>
      <c r="D31" s="2"/>
      <c r="E31" s="2"/>
    </row>
    <row r="33" spans="1:5" ht="15" customHeight="1" x14ac:dyDescent="0.2">
      <c r="A33" s="5" t="s">
        <v>113</v>
      </c>
      <c r="B33" s="5"/>
      <c r="C33" s="5"/>
      <c r="D33" s="5"/>
      <c r="E33" s="5"/>
    </row>
    <row r="34" spans="1:5" ht="15" customHeight="1" x14ac:dyDescent="0.2">
      <c r="A34" s="2" t="s">
        <v>114</v>
      </c>
      <c r="B34" s="2"/>
      <c r="C34" s="2"/>
      <c r="D34" s="2"/>
      <c r="E34" s="2"/>
    </row>
    <row r="35" spans="1:5" ht="15" customHeight="1" x14ac:dyDescent="0.2">
      <c r="A35" s="2" t="s">
        <v>115</v>
      </c>
      <c r="B35" s="2"/>
      <c r="C35" s="2"/>
      <c r="D35" s="2"/>
      <c r="E35" s="2"/>
    </row>
  </sheetData>
  <mergeCells count="12">
    <mergeCell ref="A34:E34"/>
    <mergeCell ref="A35:E35"/>
    <mergeCell ref="A20:E20"/>
    <mergeCell ref="A29:E29"/>
    <mergeCell ref="A30:E30"/>
    <mergeCell ref="A31:E31"/>
    <mergeCell ref="A33:E33"/>
    <mergeCell ref="A1:E1"/>
    <mergeCell ref="A3:E3"/>
    <mergeCell ref="A11:E11"/>
    <mergeCell ref="A17:E17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30" customWidth="1"/>
    <col min="3" max="5" width="18" customWidth="1"/>
    <col min="6" max="6" width="32" customWidth="1"/>
  </cols>
  <sheetData>
    <row r="1" spans="1:6" ht="17.25" customHeight="1" x14ac:dyDescent="0.2">
      <c r="A1" s="7" t="s">
        <v>116</v>
      </c>
      <c r="B1" s="7"/>
      <c r="C1" s="7"/>
      <c r="D1" s="7"/>
      <c r="E1" s="7"/>
      <c r="F1" s="7"/>
    </row>
    <row r="3" spans="1:6" ht="15" customHeight="1" x14ac:dyDescent="0.2">
      <c r="A3" s="5" t="s">
        <v>117</v>
      </c>
      <c r="B3" s="5"/>
      <c r="C3" s="5"/>
      <c r="D3" s="5"/>
      <c r="E3" s="5"/>
      <c r="F3" s="5"/>
    </row>
    <row r="4" spans="1:6" x14ac:dyDescent="0.2">
      <c r="A4" s="11"/>
      <c r="B4" s="11" t="s">
        <v>89</v>
      </c>
      <c r="C4" s="11" t="s">
        <v>118</v>
      </c>
      <c r="D4" s="11" t="s">
        <v>119</v>
      </c>
      <c r="E4" s="11" t="s">
        <v>120</v>
      </c>
      <c r="F4" s="11" t="s">
        <v>12</v>
      </c>
    </row>
    <row r="5" spans="1:6" x14ac:dyDescent="0.2">
      <c r="B5" s="8" t="s">
        <v>67</v>
      </c>
      <c r="C5" s="20">
        <v>1</v>
      </c>
      <c r="D5" s="20">
        <v>1</v>
      </c>
      <c r="E5" s="20">
        <v>1</v>
      </c>
      <c r="F5" s="8" t="s">
        <v>121</v>
      </c>
    </row>
    <row r="6" spans="1:6" x14ac:dyDescent="0.2">
      <c r="B6" s="8" t="s">
        <v>122</v>
      </c>
      <c r="C6" s="20">
        <v>2</v>
      </c>
      <c r="D6" s="20">
        <v>4</v>
      </c>
      <c r="E6" s="20">
        <v>6</v>
      </c>
      <c r="F6" s="8" t="s">
        <v>123</v>
      </c>
    </row>
    <row r="7" spans="1:6" x14ac:dyDescent="0.2">
      <c r="B7" s="8" t="s">
        <v>124</v>
      </c>
      <c r="C7" s="20">
        <v>4</v>
      </c>
      <c r="D7" s="20">
        <v>8</v>
      </c>
      <c r="E7" s="20">
        <v>12</v>
      </c>
      <c r="F7" s="8" t="s">
        <v>125</v>
      </c>
    </row>
    <row r="8" spans="1:6" x14ac:dyDescent="0.2">
      <c r="B8" s="8" t="s">
        <v>126</v>
      </c>
      <c r="C8" s="20">
        <v>8</v>
      </c>
      <c r="D8" s="20">
        <v>16</v>
      </c>
      <c r="E8" s="20">
        <v>24</v>
      </c>
      <c r="F8" s="8" t="s">
        <v>127</v>
      </c>
    </row>
    <row r="9" spans="1:6" x14ac:dyDescent="0.2">
      <c r="B9" s="8" t="s">
        <v>128</v>
      </c>
      <c r="C9" s="20">
        <v>16</v>
      </c>
      <c r="D9" s="20">
        <v>32</v>
      </c>
      <c r="E9" s="20">
        <v>48</v>
      </c>
      <c r="F9" s="8" t="s">
        <v>129</v>
      </c>
    </row>
    <row r="10" spans="1:6" x14ac:dyDescent="0.2">
      <c r="B10" s="21" t="s">
        <v>130</v>
      </c>
      <c r="C10" s="22">
        <f>SUM(C5:C9)</f>
        <v>31</v>
      </c>
      <c r="D10" s="22">
        <f>SUM(D5:D9)</f>
        <v>61</v>
      </c>
      <c r="E10" s="22">
        <f>SUM(E5:E9)</f>
        <v>91</v>
      </c>
    </row>
    <row r="11" spans="1:6" ht="15" customHeight="1" x14ac:dyDescent="0.2">
      <c r="B11" s="5" t="s">
        <v>131</v>
      </c>
      <c r="C11" s="5"/>
      <c r="D11" s="5"/>
      <c r="E11" s="5"/>
      <c r="F11" s="5"/>
    </row>
    <row r="12" spans="1:6" x14ac:dyDescent="0.2">
      <c r="B12" s="21" t="s">
        <v>132</v>
      </c>
      <c r="C12" s="23">
        <f>'Dashboard CEO'!C27</f>
        <v>910</v>
      </c>
      <c r="D12" s="23">
        <f>'Dashboard CEO'!D27</f>
        <v>1770</v>
      </c>
      <c r="E12" s="23">
        <f>'Dashboard CEO'!E27</f>
        <v>5740</v>
      </c>
    </row>
    <row r="13" spans="1:6" x14ac:dyDescent="0.2">
      <c r="B13" s="21" t="s">
        <v>133</v>
      </c>
      <c r="C13" s="15">
        <f>'Dashboard CEO'!C28</f>
        <v>1820000000</v>
      </c>
      <c r="D13" s="15">
        <f>'Dashboard CEO'!D28</f>
        <v>3540000000</v>
      </c>
      <c r="E13" s="15">
        <f>'Dashboard CEO'!E28</f>
        <v>11480000000</v>
      </c>
    </row>
    <row r="15" spans="1:6" ht="15" customHeight="1" x14ac:dyDescent="0.2">
      <c r="A15" s="5" t="s">
        <v>134</v>
      </c>
      <c r="B15" s="5"/>
      <c r="C15" s="5"/>
      <c r="D15" s="5"/>
      <c r="E15" s="5"/>
      <c r="F15" s="5"/>
    </row>
    <row r="16" spans="1:6" x14ac:dyDescent="0.2">
      <c r="A16" s="1" t="s">
        <v>135</v>
      </c>
      <c r="B16" s="1"/>
      <c r="C16" s="1"/>
      <c r="D16" s="1"/>
      <c r="E16" s="1"/>
      <c r="F16" s="1"/>
    </row>
    <row r="17" spans="1:6" x14ac:dyDescent="0.2">
      <c r="A17" s="1" t="s">
        <v>136</v>
      </c>
      <c r="B17" s="1"/>
      <c r="C17" s="1"/>
      <c r="D17" s="1"/>
      <c r="E17" s="1"/>
      <c r="F17" s="1"/>
    </row>
    <row r="18" spans="1:6" x14ac:dyDescent="0.2">
      <c r="A18" s="1" t="s">
        <v>137</v>
      </c>
      <c r="B18" s="1"/>
      <c r="C18" s="1"/>
      <c r="D18" s="1"/>
      <c r="E18" s="1"/>
      <c r="F18" s="1"/>
    </row>
    <row r="19" spans="1:6" x14ac:dyDescent="0.2">
      <c r="A19" s="1" t="s">
        <v>138</v>
      </c>
      <c r="B19" s="1"/>
      <c r="C19" s="1"/>
      <c r="D19" s="1"/>
      <c r="E19" s="1"/>
      <c r="F19" s="1"/>
    </row>
    <row r="20" spans="1:6" x14ac:dyDescent="0.2">
      <c r="A20" s="1" t="s">
        <v>139</v>
      </c>
      <c r="B20" s="1"/>
      <c r="C20" s="1"/>
      <c r="D20" s="1"/>
      <c r="E20" s="1"/>
      <c r="F20" s="1"/>
    </row>
    <row r="21" spans="1:6" x14ac:dyDescent="0.2">
      <c r="A21" s="1" t="s">
        <v>140</v>
      </c>
      <c r="B21" s="1"/>
      <c r="C21" s="1"/>
      <c r="D21" s="1"/>
      <c r="E21" s="1"/>
      <c r="F21" s="1"/>
    </row>
    <row r="22" spans="1:6" x14ac:dyDescent="0.2">
      <c r="A22" s="1" t="s">
        <v>141</v>
      </c>
      <c r="B22" s="1"/>
      <c r="C22" s="1"/>
      <c r="D22" s="1"/>
      <c r="E22" s="1"/>
      <c r="F22" s="1"/>
    </row>
    <row r="23" spans="1:6" x14ac:dyDescent="0.2">
      <c r="A23" s="1" t="s">
        <v>142</v>
      </c>
      <c r="B23" s="1"/>
      <c r="C23" s="1"/>
      <c r="D23" s="1"/>
      <c r="E23" s="1"/>
      <c r="F23" s="1"/>
    </row>
    <row r="24" spans="1:6" x14ac:dyDescent="0.2">
      <c r="A24" s="1" t="s">
        <v>143</v>
      </c>
      <c r="B24" s="1"/>
      <c r="C24" s="1"/>
      <c r="D24" s="1"/>
      <c r="E24" s="1"/>
      <c r="F24" s="1"/>
    </row>
    <row r="25" spans="1:6" x14ac:dyDescent="0.2">
      <c r="A25" s="1" t="s">
        <v>144</v>
      </c>
      <c r="B25" s="1"/>
      <c r="C25" s="1"/>
      <c r="D25" s="1"/>
      <c r="E25" s="1"/>
      <c r="F25" s="1"/>
    </row>
    <row r="26" spans="1:6" x14ac:dyDescent="0.2">
      <c r="A26" s="1" t="s">
        <v>145</v>
      </c>
      <c r="B26" s="1"/>
      <c r="C26" s="1"/>
      <c r="D26" s="1"/>
      <c r="E26" s="1"/>
      <c r="F26" s="1"/>
    </row>
    <row r="27" spans="1:6" x14ac:dyDescent="0.2">
      <c r="A27" s="1" t="s">
        <v>146</v>
      </c>
      <c r="B27" s="1"/>
      <c r="C27" s="1"/>
      <c r="D27" s="1"/>
      <c r="E27" s="1"/>
      <c r="F27" s="1"/>
    </row>
  </sheetData>
  <mergeCells count="16">
    <mergeCell ref="A27:F27"/>
    <mergeCell ref="A22:F22"/>
    <mergeCell ref="A23:F23"/>
    <mergeCell ref="A24:F24"/>
    <mergeCell ref="A25:F25"/>
    <mergeCell ref="A26:F26"/>
    <mergeCell ref="A17:F17"/>
    <mergeCell ref="A18:F18"/>
    <mergeCell ref="A19:F19"/>
    <mergeCell ref="A20:F20"/>
    <mergeCell ref="A21:F21"/>
    <mergeCell ref="A1:F1"/>
    <mergeCell ref="A3:F3"/>
    <mergeCell ref="B11:F11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38" customWidth="1"/>
    <col min="3" max="5" width="18" customWidth="1"/>
    <col min="6" max="6" width="36" customWidth="1"/>
  </cols>
  <sheetData>
    <row r="1" spans="1:6" ht="17.25" customHeight="1" x14ac:dyDescent="0.2">
      <c r="A1" s="7" t="s">
        <v>147</v>
      </c>
      <c r="B1" s="7"/>
      <c r="C1" s="7"/>
      <c r="D1" s="7"/>
      <c r="E1" s="7"/>
      <c r="F1" s="7"/>
    </row>
    <row r="3" spans="1:6" ht="15" customHeight="1" x14ac:dyDescent="0.2">
      <c r="A3" s="5" t="s">
        <v>148</v>
      </c>
      <c r="B3" s="5"/>
      <c r="C3" s="5"/>
      <c r="D3" s="5"/>
      <c r="E3" s="5"/>
      <c r="F3" s="5"/>
    </row>
    <row r="4" spans="1:6" x14ac:dyDescent="0.2">
      <c r="A4" s="11"/>
      <c r="B4" s="11" t="s">
        <v>149</v>
      </c>
      <c r="C4" s="11" t="s">
        <v>118</v>
      </c>
      <c r="D4" s="11" t="s">
        <v>119</v>
      </c>
      <c r="E4" s="11" t="s">
        <v>120</v>
      </c>
      <c r="F4" s="11" t="s">
        <v>150</v>
      </c>
    </row>
    <row r="5" spans="1:6" ht="15" customHeight="1" x14ac:dyDescent="0.2">
      <c r="A5" s="5" t="s">
        <v>151</v>
      </c>
      <c r="B5" s="5"/>
      <c r="C5" s="5"/>
      <c r="D5" s="5"/>
      <c r="E5" s="5"/>
      <c r="F5" s="5"/>
    </row>
    <row r="6" spans="1:6" x14ac:dyDescent="0.2">
      <c r="B6" s="8" t="s">
        <v>152</v>
      </c>
      <c r="C6" s="12">
        <v>10</v>
      </c>
      <c r="D6" s="12">
        <v>10</v>
      </c>
      <c r="E6" s="12">
        <v>30</v>
      </c>
      <c r="F6" s="8" t="s">
        <v>153</v>
      </c>
    </row>
    <row r="7" spans="1:6" x14ac:dyDescent="0.2">
      <c r="B7" s="8" t="s">
        <v>154</v>
      </c>
      <c r="C7" s="14">
        <f>0.2*C6*'Dashboard CEO'!$C$5</f>
        <v>4000000</v>
      </c>
      <c r="D7" s="14">
        <f>0.2*D6*'Dashboard CEO'!$C$5</f>
        <v>4000000</v>
      </c>
      <c r="E7" s="14">
        <f>0.2*E6*'Dashboard CEO'!$C$5</f>
        <v>12000000</v>
      </c>
      <c r="F7" s="8" t="s">
        <v>155</v>
      </c>
    </row>
    <row r="8" spans="1:6" x14ac:dyDescent="0.2">
      <c r="B8" s="21" t="s">
        <v>156</v>
      </c>
      <c r="C8" s="16">
        <f>C7</f>
        <v>4000000</v>
      </c>
      <c r="D8" s="16">
        <f>D7</f>
        <v>4000000</v>
      </c>
      <c r="E8" s="16">
        <f>E7</f>
        <v>12000000</v>
      </c>
    </row>
    <row r="10" spans="1:6" ht="15" customHeight="1" x14ac:dyDescent="0.2">
      <c r="A10" s="5" t="s">
        <v>157</v>
      </c>
      <c r="B10" s="5"/>
      <c r="C10" s="5"/>
      <c r="D10" s="5"/>
      <c r="E10" s="5"/>
      <c r="F10" s="5"/>
    </row>
    <row r="11" spans="1:6" x14ac:dyDescent="0.2">
      <c r="B11" s="8" t="s">
        <v>152</v>
      </c>
      <c r="C11" s="12">
        <v>50</v>
      </c>
      <c r="D11" s="12">
        <v>50</v>
      </c>
      <c r="E11" s="12">
        <v>100</v>
      </c>
      <c r="F11" s="8" t="s">
        <v>158</v>
      </c>
    </row>
    <row r="12" spans="1:6" x14ac:dyDescent="0.2">
      <c r="B12" s="8" t="s">
        <v>154</v>
      </c>
      <c r="C12" s="14">
        <f>0.2*C11*'Dashboard CEO'!$C$5</f>
        <v>20000000</v>
      </c>
      <c r="D12" s="14">
        <f>0.2*D11*'Dashboard CEO'!$C$5</f>
        <v>20000000</v>
      </c>
      <c r="E12" s="14">
        <f>0.2*E11*'Dashboard CEO'!$C$5</f>
        <v>40000000</v>
      </c>
      <c r="F12" s="8" t="s">
        <v>155</v>
      </c>
    </row>
    <row r="13" spans="1:6" x14ac:dyDescent="0.2">
      <c r="B13" s="8" t="s">
        <v>159</v>
      </c>
      <c r="C13" s="14">
        <v>5000000</v>
      </c>
      <c r="D13" s="14">
        <v>5000000</v>
      </c>
      <c r="E13" s="14">
        <v>5000000</v>
      </c>
      <c r="F13" s="8" t="s">
        <v>160</v>
      </c>
    </row>
    <row r="14" spans="1:6" x14ac:dyDescent="0.2">
      <c r="B14" s="21" t="s">
        <v>161</v>
      </c>
      <c r="C14" s="16">
        <f>C12+C13</f>
        <v>25000000</v>
      </c>
      <c r="D14" s="16">
        <f>D12+D13</f>
        <v>25000000</v>
      </c>
      <c r="E14" s="16">
        <f>E12+E13</f>
        <v>45000000</v>
      </c>
    </row>
    <row r="16" spans="1:6" ht="15" customHeight="1" x14ac:dyDescent="0.2">
      <c r="A16" s="5" t="s">
        <v>162</v>
      </c>
      <c r="B16" s="5"/>
      <c r="C16" s="5"/>
      <c r="D16" s="5"/>
      <c r="E16" s="5"/>
      <c r="F16" s="5"/>
    </row>
    <row r="17" spans="1:6" x14ac:dyDescent="0.2">
      <c r="B17" s="8" t="s">
        <v>163</v>
      </c>
      <c r="C17" s="12">
        <v>50</v>
      </c>
      <c r="D17" s="12">
        <v>50</v>
      </c>
      <c r="E17" s="12">
        <v>100</v>
      </c>
      <c r="F17" s="8" t="s">
        <v>158</v>
      </c>
    </row>
    <row r="18" spans="1:6" x14ac:dyDescent="0.2">
      <c r="B18" s="8" t="s">
        <v>164</v>
      </c>
      <c r="C18" s="12">
        <v>100</v>
      </c>
      <c r="D18" s="12">
        <v>100</v>
      </c>
      <c r="E18" s="12">
        <v>200</v>
      </c>
      <c r="F18" s="8" t="s">
        <v>165</v>
      </c>
    </row>
    <row r="19" spans="1:6" x14ac:dyDescent="0.2">
      <c r="B19" s="8" t="s">
        <v>166</v>
      </c>
      <c r="C19" s="12">
        <v>20</v>
      </c>
      <c r="D19" s="12">
        <v>40</v>
      </c>
      <c r="E19" s="12">
        <v>80</v>
      </c>
      <c r="F19" s="8" t="s">
        <v>167</v>
      </c>
    </row>
    <row r="20" spans="1:6" x14ac:dyDescent="0.2">
      <c r="B20" s="8" t="s">
        <v>168</v>
      </c>
      <c r="C20" s="14">
        <f>0.3*C17*'Dashboard CEO'!$C$5</f>
        <v>30000000</v>
      </c>
      <c r="D20" s="14">
        <f>0.3*D17*'Dashboard CEO'!$C$5</f>
        <v>30000000</v>
      </c>
      <c r="E20" s="14">
        <f>0.3*E17*'Dashboard CEO'!$C$5</f>
        <v>60000000</v>
      </c>
      <c r="F20" s="8" t="s">
        <v>169</v>
      </c>
    </row>
    <row r="21" spans="1:6" x14ac:dyDescent="0.2">
      <c r="B21" s="8" t="s">
        <v>159</v>
      </c>
      <c r="C21" s="14">
        <v>10000000</v>
      </c>
      <c r="D21" s="14">
        <v>10000000</v>
      </c>
      <c r="E21" s="14">
        <v>10000000</v>
      </c>
      <c r="F21" s="8" t="s">
        <v>170</v>
      </c>
    </row>
    <row r="22" spans="1:6" x14ac:dyDescent="0.2">
      <c r="B22" s="8" t="s">
        <v>171</v>
      </c>
      <c r="C22" s="14">
        <f>0.1*C18*'Dashboard CEO'!$C$5</f>
        <v>20000000</v>
      </c>
      <c r="D22" s="14">
        <f>0.1*D18*'Dashboard CEO'!$C$5</f>
        <v>20000000</v>
      </c>
      <c r="E22" s="14">
        <f>0.1*E18*'Dashboard CEO'!$C$5</f>
        <v>40000000</v>
      </c>
      <c r="F22" s="8" t="s">
        <v>172</v>
      </c>
    </row>
    <row r="23" spans="1:6" x14ac:dyDescent="0.2">
      <c r="B23" s="8" t="s">
        <v>173</v>
      </c>
      <c r="C23" s="14">
        <f>0.05*C19*'Dashboard CEO'!$C$5</f>
        <v>2000000</v>
      </c>
      <c r="D23" s="14">
        <f>0.05*D19*'Dashboard CEO'!$C$5</f>
        <v>4000000</v>
      </c>
      <c r="E23" s="14">
        <f>0.05*E19*'Dashboard CEO'!$C$5</f>
        <v>8000000</v>
      </c>
      <c r="F23" s="8" t="s">
        <v>174</v>
      </c>
    </row>
    <row r="24" spans="1:6" x14ac:dyDescent="0.2">
      <c r="B24" s="8" t="s">
        <v>175</v>
      </c>
      <c r="C24" s="14">
        <v>0</v>
      </c>
      <c r="D24" s="14">
        <v>0</v>
      </c>
      <c r="E24" s="14">
        <v>0</v>
      </c>
      <c r="F24" s="8" t="s">
        <v>176</v>
      </c>
    </row>
    <row r="25" spans="1:6" x14ac:dyDescent="0.2">
      <c r="B25" s="21" t="s">
        <v>177</v>
      </c>
      <c r="C25" s="16">
        <f>SUM(C20:C24)</f>
        <v>62000000</v>
      </c>
      <c r="D25" s="16">
        <f>SUM(D20:D24)</f>
        <v>64000000</v>
      </c>
      <c r="E25" s="16">
        <f>SUM(E20:E24)</f>
        <v>118000000</v>
      </c>
    </row>
    <row r="27" spans="1:6" ht="15" customHeight="1" x14ac:dyDescent="0.2">
      <c r="A27" s="5" t="s">
        <v>178</v>
      </c>
      <c r="B27" s="5"/>
      <c r="C27" s="5"/>
      <c r="D27" s="5"/>
      <c r="E27" s="5"/>
      <c r="F27" s="5"/>
    </row>
    <row r="28" spans="1:6" x14ac:dyDescent="0.2">
      <c r="B28" s="8" t="s">
        <v>179</v>
      </c>
      <c r="C28" s="12">
        <v>50</v>
      </c>
      <c r="D28" s="12">
        <v>50</v>
      </c>
      <c r="E28" s="12">
        <v>100</v>
      </c>
      <c r="F28" s="8" t="s">
        <v>158</v>
      </c>
    </row>
    <row r="29" spans="1:6" x14ac:dyDescent="0.2">
      <c r="B29" s="8" t="s">
        <v>180</v>
      </c>
      <c r="C29" s="12">
        <v>100</v>
      </c>
      <c r="D29" s="12">
        <v>150</v>
      </c>
      <c r="E29" s="12">
        <v>300</v>
      </c>
    </row>
    <row r="30" spans="1:6" x14ac:dyDescent="0.2">
      <c r="B30" s="8" t="s">
        <v>181</v>
      </c>
      <c r="C30" s="12">
        <v>100</v>
      </c>
      <c r="D30" s="12">
        <v>150</v>
      </c>
      <c r="E30" s="12">
        <v>300</v>
      </c>
    </row>
    <row r="31" spans="1:6" x14ac:dyDescent="0.2">
      <c r="B31" s="8" t="s">
        <v>182</v>
      </c>
      <c r="C31" s="14">
        <f>0.35*C28*'Dashboard CEO'!$C$5</f>
        <v>35000000</v>
      </c>
      <c r="D31" s="14">
        <f>0.35*D28*'Dashboard CEO'!$C$5</f>
        <v>35000000</v>
      </c>
      <c r="E31" s="14">
        <f>0.35*E28*'Dashboard CEO'!$C$5</f>
        <v>70000000</v>
      </c>
    </row>
    <row r="32" spans="1:6" x14ac:dyDescent="0.2">
      <c r="B32" s="8" t="s">
        <v>159</v>
      </c>
      <c r="C32" s="14">
        <v>18000000</v>
      </c>
      <c r="D32" s="14">
        <v>18000000</v>
      </c>
      <c r="E32" s="14">
        <v>18000000</v>
      </c>
      <c r="F32" s="8" t="s">
        <v>183</v>
      </c>
    </row>
    <row r="33" spans="1:6" x14ac:dyDescent="0.2">
      <c r="B33" s="8" t="s">
        <v>171</v>
      </c>
      <c r="C33" s="14">
        <f>0.1*C29*'Dashboard CEO'!$C$5</f>
        <v>20000000</v>
      </c>
      <c r="D33" s="14">
        <f>0.1*D29*'Dashboard CEO'!$C$5</f>
        <v>30000000</v>
      </c>
      <c r="E33" s="14">
        <f>0.1*E29*'Dashboard CEO'!$C$5</f>
        <v>60000000</v>
      </c>
    </row>
    <row r="34" spans="1:6" x14ac:dyDescent="0.2">
      <c r="B34" s="8" t="s">
        <v>173</v>
      </c>
      <c r="C34" s="14">
        <f>0.05*C30*'Dashboard CEO'!$C$5</f>
        <v>10000000</v>
      </c>
      <c r="D34" s="14">
        <f>0.05*D30*'Dashboard CEO'!$C$5</f>
        <v>15000000</v>
      </c>
      <c r="E34" s="14">
        <f>0.05*E30*'Dashboard CEO'!$C$5</f>
        <v>30000000</v>
      </c>
    </row>
    <row r="35" spans="1:6" x14ac:dyDescent="0.2">
      <c r="B35" s="8" t="s">
        <v>175</v>
      </c>
      <c r="C35" s="14">
        <v>0</v>
      </c>
      <c r="D35" s="14">
        <v>0</v>
      </c>
      <c r="E35" s="14">
        <v>0</v>
      </c>
      <c r="F35" s="8" t="s">
        <v>184</v>
      </c>
    </row>
    <row r="36" spans="1:6" x14ac:dyDescent="0.2">
      <c r="B36" s="21" t="s">
        <v>185</v>
      </c>
      <c r="C36" s="16">
        <f>SUM(C31:C35)</f>
        <v>83000000</v>
      </c>
      <c r="D36" s="16">
        <f>SUM(D31:D35)</f>
        <v>98000000</v>
      </c>
      <c r="E36" s="16">
        <f>SUM(E31:E35)</f>
        <v>178000000</v>
      </c>
    </row>
    <row r="38" spans="1:6" ht="15" customHeight="1" x14ac:dyDescent="0.2">
      <c r="A38" s="5" t="s">
        <v>186</v>
      </c>
      <c r="B38" s="5"/>
      <c r="C38" s="5"/>
      <c r="D38" s="5"/>
      <c r="E38" s="5"/>
      <c r="F38" s="5"/>
    </row>
    <row r="39" spans="1:6" x14ac:dyDescent="0.2">
      <c r="B39" s="8" t="s">
        <v>187</v>
      </c>
      <c r="C39" s="12">
        <v>50</v>
      </c>
      <c r="D39" s="12">
        <v>50</v>
      </c>
      <c r="E39" s="12">
        <v>100</v>
      </c>
    </row>
    <row r="40" spans="1:6" x14ac:dyDescent="0.2">
      <c r="B40" s="8" t="s">
        <v>188</v>
      </c>
      <c r="C40" s="12">
        <v>100</v>
      </c>
      <c r="D40" s="12">
        <v>200</v>
      </c>
      <c r="E40" s="12">
        <v>400</v>
      </c>
    </row>
    <row r="41" spans="1:6" x14ac:dyDescent="0.2">
      <c r="B41" s="8" t="s">
        <v>189</v>
      </c>
      <c r="C41" s="12">
        <v>200</v>
      </c>
      <c r="D41" s="12">
        <v>400</v>
      </c>
      <c r="E41" s="12">
        <v>600</v>
      </c>
    </row>
    <row r="42" spans="1:6" x14ac:dyDescent="0.2">
      <c r="B42" s="8" t="s">
        <v>190</v>
      </c>
      <c r="C42" s="12">
        <v>400</v>
      </c>
      <c r="D42" s="12">
        <v>800</v>
      </c>
      <c r="E42" s="12">
        <v>1200</v>
      </c>
    </row>
    <row r="43" spans="1:6" x14ac:dyDescent="0.2">
      <c r="B43" s="8" t="s">
        <v>191</v>
      </c>
      <c r="C43" s="14">
        <f>0.38*C39*'Dashboard CEO'!$C$5</f>
        <v>38000000</v>
      </c>
      <c r="D43" s="14">
        <f>0.38*D39*'Dashboard CEO'!$C$5</f>
        <v>38000000</v>
      </c>
      <c r="E43" s="14">
        <f>0.38*E39*'Dashboard CEO'!$C$5</f>
        <v>76000000</v>
      </c>
    </row>
    <row r="44" spans="1:6" x14ac:dyDescent="0.2">
      <c r="B44" s="8" t="s">
        <v>159</v>
      </c>
      <c r="C44" s="14">
        <v>30000000</v>
      </c>
      <c r="D44" s="14">
        <v>30000000</v>
      </c>
      <c r="E44" s="14">
        <v>30000000</v>
      </c>
      <c r="F44" s="8" t="s">
        <v>192</v>
      </c>
    </row>
    <row r="45" spans="1:6" x14ac:dyDescent="0.2">
      <c r="B45" s="8" t="s">
        <v>171</v>
      </c>
      <c r="C45" s="14">
        <f>0.1*C40*'Dashboard CEO'!$C$5</f>
        <v>20000000</v>
      </c>
      <c r="D45" s="14">
        <f>0.1*D40*'Dashboard CEO'!$C$5</f>
        <v>40000000</v>
      </c>
      <c r="E45" s="14">
        <f>0.1*E40*'Dashboard CEO'!$C$5</f>
        <v>80000000</v>
      </c>
    </row>
    <row r="46" spans="1:6" x14ac:dyDescent="0.2">
      <c r="B46" s="8" t="s">
        <v>173</v>
      </c>
      <c r="C46" s="14">
        <f>0.05*C41*'Dashboard CEO'!$C$5</f>
        <v>20000000</v>
      </c>
      <c r="D46" s="14">
        <f>0.05*D41*'Dashboard CEO'!$C$5</f>
        <v>40000000</v>
      </c>
      <c r="E46" s="14">
        <f>0.05*E41*'Dashboard CEO'!$C$5</f>
        <v>60000000</v>
      </c>
    </row>
    <row r="47" spans="1:6" x14ac:dyDescent="0.2">
      <c r="B47" s="8" t="s">
        <v>193</v>
      </c>
      <c r="C47" s="14">
        <f>0.03*C42*'Dashboard CEO'!$C$5</f>
        <v>24000000</v>
      </c>
      <c r="D47" s="14">
        <f>0.03*D42*'Dashboard CEO'!$C$5</f>
        <v>48000000</v>
      </c>
      <c r="E47" s="14">
        <f>0.03*E42*'Dashboard CEO'!$C$5</f>
        <v>72000000</v>
      </c>
    </row>
    <row r="48" spans="1:6" x14ac:dyDescent="0.2">
      <c r="B48" s="21" t="s">
        <v>194</v>
      </c>
      <c r="C48" s="16">
        <f>SUM(C43:C47)</f>
        <v>132000000</v>
      </c>
      <c r="D48" s="16">
        <f>SUM(D43:D47)</f>
        <v>196000000</v>
      </c>
      <c r="E48" s="16">
        <f>SUM(E43:E47)</f>
        <v>318000000</v>
      </c>
    </row>
  </sheetData>
  <mergeCells count="7">
    <mergeCell ref="A27:F27"/>
    <mergeCell ref="A38:F38"/>
    <mergeCell ref="A1:F1"/>
    <mergeCell ref="A3:F3"/>
    <mergeCell ref="A5:F5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38" customWidth="1"/>
    <col min="3" max="3" width="32" customWidth="1"/>
    <col min="4" max="4" width="18" customWidth="1"/>
    <col min="5" max="5" width="14" customWidth="1"/>
    <col min="6" max="6" width="18" customWidth="1"/>
    <col min="7" max="7" width="14" customWidth="1"/>
    <col min="8" max="8" width="18" customWidth="1"/>
  </cols>
  <sheetData>
    <row r="1" spans="1:8" ht="17.25" customHeight="1" x14ac:dyDescent="0.2">
      <c r="A1" s="7" t="s">
        <v>195</v>
      </c>
      <c r="B1" s="7"/>
      <c r="C1" s="7"/>
      <c r="D1" s="7"/>
      <c r="E1" s="7"/>
      <c r="F1" s="7"/>
      <c r="G1" s="7"/>
      <c r="H1" s="7"/>
    </row>
    <row r="3" spans="1:8" x14ac:dyDescent="0.2">
      <c r="B3" s="11" t="s">
        <v>196</v>
      </c>
      <c r="C3" s="11" t="s">
        <v>197</v>
      </c>
      <c r="D3" s="11" t="s">
        <v>118</v>
      </c>
      <c r="E3" s="11" t="s">
        <v>198</v>
      </c>
      <c r="F3" s="11" t="s">
        <v>119</v>
      </c>
      <c r="G3" s="11" t="s">
        <v>198</v>
      </c>
      <c r="H3" s="11" t="s">
        <v>120</v>
      </c>
    </row>
    <row r="5" spans="1:8" ht="15" customHeight="1" x14ac:dyDescent="0.2">
      <c r="A5" s="5" t="s">
        <v>199</v>
      </c>
      <c r="B5" s="5"/>
      <c r="C5" s="5"/>
      <c r="D5" s="5"/>
      <c r="E5" s="5"/>
      <c r="F5" s="5"/>
      <c r="G5" s="5"/>
      <c r="H5" s="5"/>
    </row>
    <row r="6" spans="1:8" x14ac:dyDescent="0.2">
      <c r="B6" s="8" t="s">
        <v>200</v>
      </c>
      <c r="C6" s="8" t="s">
        <v>201</v>
      </c>
      <c r="D6" s="14">
        <f>0.2*'Dashboard CEO'!C16*'Dashboard CEO'!C23*'Dashboard CEO'!$C$5</f>
        <v>64000000</v>
      </c>
      <c r="E6" s="17">
        <f>D6/'Dashboard CEO'!C$28</f>
        <v>3.5164835164835165E-2</v>
      </c>
      <c r="F6" s="14">
        <f>0.2*'Dashboard CEO'!D16*'Dashboard CEO'!D23*'Dashboard CEO'!$C$5</f>
        <v>128000000</v>
      </c>
      <c r="G6" s="17">
        <f>F6/'Dashboard CEO'!D$28</f>
        <v>3.6158192090395481E-2</v>
      </c>
      <c r="H6" s="14">
        <f>0.2*'Dashboard CEO'!E16*'Dashboard CEO'!E23*'Dashboard CEO'!$C$5</f>
        <v>576000000.00000012</v>
      </c>
    </row>
    <row r="7" spans="1:8" x14ac:dyDescent="0.2">
      <c r="B7" s="8" t="s">
        <v>202</v>
      </c>
      <c r="C7" s="8" t="s">
        <v>203</v>
      </c>
      <c r="D7" s="14">
        <f>0.2*'Dashboard CEO'!C15*'Dashboard CEO'!C22*'Dashboard CEO'!$C$5</f>
        <v>160000000</v>
      </c>
      <c r="E7" s="17">
        <f>D7/'Dashboard CEO'!C$28</f>
        <v>8.7912087912087919E-2</v>
      </c>
      <c r="F7" s="14">
        <f>0.2*'Dashboard CEO'!D15*'Dashboard CEO'!D22*'Dashboard CEO'!$C$5</f>
        <v>320000000</v>
      </c>
      <c r="G7" s="17">
        <f>F7/'Dashboard CEO'!D$28</f>
        <v>9.03954802259887E-2</v>
      </c>
      <c r="H7" s="14">
        <f>0.2*'Dashboard CEO'!E15*'Dashboard CEO'!E22*'Dashboard CEO'!$C$5</f>
        <v>960000000.00000012</v>
      </c>
    </row>
    <row r="8" spans="1:8" x14ac:dyDescent="0.2">
      <c r="B8" s="8" t="s">
        <v>204</v>
      </c>
      <c r="C8" s="8" t="s">
        <v>205</v>
      </c>
      <c r="D8" s="14">
        <f>0.3*'Dashboard CEO'!C14*'Dashboard CEO'!C21*'Dashboard CEO'!$C$5</f>
        <v>120000000</v>
      </c>
      <c r="E8" s="17">
        <f>D8/'Dashboard CEO'!C$28</f>
        <v>6.5934065934065936E-2</v>
      </c>
      <c r="F8" s="14">
        <f>0.3*'Dashboard CEO'!D14*'Dashboard CEO'!D21*'Dashboard CEO'!$C$5</f>
        <v>240000000</v>
      </c>
      <c r="G8" s="17">
        <f>F8/'Dashboard CEO'!D$28</f>
        <v>6.7796610169491525E-2</v>
      </c>
      <c r="H8" s="14">
        <f>0.3*'Dashboard CEO'!E14*'Dashboard CEO'!E21*'Dashboard CEO'!$C$5</f>
        <v>719999999.99999988</v>
      </c>
    </row>
    <row r="9" spans="1:8" x14ac:dyDescent="0.2">
      <c r="B9" s="8" t="s">
        <v>206</v>
      </c>
      <c r="C9" s="8" t="s">
        <v>207</v>
      </c>
      <c r="D9" s="14">
        <f>0.35*'Dashboard CEO'!C13*'Dashboard CEO'!C20*'Dashboard CEO'!$C$5</f>
        <v>70000000</v>
      </c>
      <c r="E9" s="17">
        <f>D9/'Dashboard CEO'!C$28</f>
        <v>3.8461538461538464E-2</v>
      </c>
      <c r="F9" s="14">
        <f>0.35*'Dashboard CEO'!D13*'Dashboard CEO'!D20*'Dashboard CEO'!$C$5</f>
        <v>140000000</v>
      </c>
      <c r="G9" s="17">
        <f>F9/'Dashboard CEO'!D$28</f>
        <v>3.954802259887006E-2</v>
      </c>
      <c r="H9" s="14">
        <f>0.35*'Dashboard CEO'!E13*'Dashboard CEO'!E20*'Dashboard CEO'!$C$5</f>
        <v>419999999.99999994</v>
      </c>
    </row>
    <row r="10" spans="1:8" x14ac:dyDescent="0.2">
      <c r="B10" s="8" t="s">
        <v>208</v>
      </c>
      <c r="C10" s="8" t="s">
        <v>209</v>
      </c>
      <c r="D10" s="14">
        <f>0.38*'Dashboard CEO'!C12*'Dashboard CEO'!C19*'Dashboard CEO'!$C$5</f>
        <v>38000000</v>
      </c>
      <c r="E10" s="17">
        <f>D10/'Dashboard CEO'!C$28</f>
        <v>2.0879120879120878E-2</v>
      </c>
      <c r="F10" s="14">
        <f>0.38*'Dashboard CEO'!D12*'Dashboard CEO'!D19*'Dashboard CEO'!$C$5</f>
        <v>38000000</v>
      </c>
      <c r="G10" s="17">
        <f>F10/'Dashboard CEO'!D$28</f>
        <v>1.0734463276836158E-2</v>
      </c>
      <c r="H10" s="14">
        <f>0.38*'Dashboard CEO'!E12*'Dashboard CEO'!E19*'Dashboard CEO'!$C$5</f>
        <v>76000000</v>
      </c>
    </row>
    <row r="11" spans="1:8" x14ac:dyDescent="0.2">
      <c r="B11" s="24"/>
      <c r="C11" s="24"/>
      <c r="D11" s="24"/>
      <c r="E11" s="24"/>
      <c r="F11" s="24"/>
      <c r="G11" s="24"/>
      <c r="H11" s="24"/>
    </row>
    <row r="12" spans="1:8" x14ac:dyDescent="0.2">
      <c r="B12" s="24"/>
      <c r="C12" s="24"/>
      <c r="D12" s="24"/>
      <c r="E12" s="24"/>
      <c r="F12" s="24"/>
      <c r="G12" s="24"/>
      <c r="H12" s="24"/>
    </row>
    <row r="13" spans="1:8" x14ac:dyDescent="0.2">
      <c r="B13" s="24"/>
      <c r="C13" s="24"/>
      <c r="D13" s="24"/>
      <c r="E13" s="24"/>
      <c r="F13" s="24"/>
      <c r="G13" s="24"/>
      <c r="H13" s="24"/>
    </row>
    <row r="14" spans="1:8" x14ac:dyDescent="0.2">
      <c r="B14" s="24"/>
      <c r="C14" s="24"/>
      <c r="D14" s="24"/>
      <c r="E14" s="24"/>
      <c r="F14" s="24"/>
      <c r="G14" s="24"/>
      <c r="H14" s="24"/>
    </row>
    <row r="15" spans="1:8" x14ac:dyDescent="0.2">
      <c r="B15" s="24"/>
      <c r="C15" s="24"/>
      <c r="D15" s="24"/>
      <c r="E15" s="24"/>
      <c r="F15" s="24"/>
      <c r="G15" s="24"/>
      <c r="H15" s="24"/>
    </row>
    <row r="16" spans="1:8" x14ac:dyDescent="0.2">
      <c r="B16" s="24"/>
      <c r="C16" s="24"/>
      <c r="D16" s="24"/>
      <c r="E16" s="24"/>
      <c r="F16" s="24"/>
      <c r="G16" s="24"/>
      <c r="H16" s="24"/>
    </row>
    <row r="17" spans="1:8" x14ac:dyDescent="0.2">
      <c r="B17" s="24"/>
      <c r="C17" s="24"/>
      <c r="D17" s="24"/>
      <c r="E17" s="24"/>
      <c r="F17" s="24"/>
      <c r="G17" s="24"/>
      <c r="H17" s="24"/>
    </row>
    <row r="18" spans="1:8" x14ac:dyDescent="0.2">
      <c r="B18" s="24"/>
      <c r="C18" s="24"/>
      <c r="D18" s="24"/>
      <c r="E18" s="24"/>
      <c r="F18" s="24"/>
      <c r="G18" s="24"/>
      <c r="H18" s="24"/>
    </row>
    <row r="19" spans="1:8" x14ac:dyDescent="0.2">
      <c r="B19" s="24"/>
      <c r="C19" s="24"/>
      <c r="D19" s="24"/>
      <c r="E19" s="24"/>
      <c r="F19" s="24"/>
      <c r="G19" s="24"/>
      <c r="H19" s="24"/>
    </row>
    <row r="20" spans="1:8" x14ac:dyDescent="0.2">
      <c r="B20" s="24"/>
      <c r="C20" s="24"/>
      <c r="D20" s="24"/>
      <c r="E20" s="24"/>
      <c r="F20" s="24"/>
      <c r="G20" s="24"/>
      <c r="H20" s="24"/>
    </row>
    <row r="21" spans="1:8" x14ac:dyDescent="0.2">
      <c r="B21" s="24"/>
      <c r="C21" s="24"/>
      <c r="D21" s="24"/>
      <c r="E21" s="24"/>
      <c r="F21" s="24"/>
      <c r="G21" s="24"/>
      <c r="H21" s="24"/>
    </row>
    <row r="22" spans="1:8" x14ac:dyDescent="0.2">
      <c r="B22" s="24"/>
      <c r="C22" s="24"/>
      <c r="D22" s="24"/>
      <c r="E22" s="24"/>
      <c r="F22" s="24"/>
      <c r="G22" s="24"/>
      <c r="H22" s="24"/>
    </row>
    <row r="23" spans="1:8" x14ac:dyDescent="0.2">
      <c r="B23" s="24"/>
      <c r="C23" s="24"/>
      <c r="D23" s="24"/>
      <c r="E23" s="24"/>
      <c r="F23" s="24"/>
      <c r="G23" s="24"/>
      <c r="H23" s="24"/>
    </row>
    <row r="24" spans="1:8" x14ac:dyDescent="0.2">
      <c r="B24" s="21" t="s">
        <v>210</v>
      </c>
      <c r="D24" s="16">
        <f>SUM(D6:D10)</f>
        <v>452000000</v>
      </c>
      <c r="E24" s="25">
        <f>D24/'Dashboard CEO'!C28</f>
        <v>0.24835164835164836</v>
      </c>
      <c r="F24" s="16">
        <f>SUM(F6:F10)</f>
        <v>866000000</v>
      </c>
      <c r="G24" s="25">
        <f>F24/'Dashboard CEO'!D28</f>
        <v>0.24463276836158193</v>
      </c>
      <c r="H24" s="16">
        <f>SUM(H6:H10)</f>
        <v>2752000000</v>
      </c>
    </row>
    <row r="26" spans="1:8" ht="15" customHeight="1" x14ac:dyDescent="0.2">
      <c r="A26" s="5" t="s">
        <v>211</v>
      </c>
      <c r="B26" s="5"/>
      <c r="C26" s="5"/>
      <c r="D26" s="5"/>
      <c r="E26" s="5"/>
      <c r="F26" s="5"/>
      <c r="G26" s="5"/>
      <c r="H26" s="5"/>
    </row>
    <row r="27" spans="1:8" x14ac:dyDescent="0.2">
      <c r="B27" s="8" t="s">
        <v>212</v>
      </c>
      <c r="C27" s="8" t="s">
        <v>213</v>
      </c>
      <c r="D27" s="14">
        <f>5000000*'Dashboard CEO'!C15</f>
        <v>40000000</v>
      </c>
      <c r="E27" s="17">
        <f>D27/'Dashboard CEO'!C$28</f>
        <v>2.197802197802198E-2</v>
      </c>
      <c r="F27" s="14">
        <f>5000000*'Dashboard CEO'!D15</f>
        <v>80000000</v>
      </c>
      <c r="G27" s="17">
        <f>F27/'Dashboard CEO'!D$28</f>
        <v>2.2598870056497175E-2</v>
      </c>
      <c r="H27" s="14">
        <f>5000000*'Dashboard CEO'!E15</f>
        <v>120000000</v>
      </c>
    </row>
    <row r="28" spans="1:8" x14ac:dyDescent="0.2">
      <c r="B28" s="8" t="s">
        <v>214</v>
      </c>
      <c r="C28" s="8" t="s">
        <v>215</v>
      </c>
      <c r="D28" s="14">
        <f>10000000*'Dashboard CEO'!C14</f>
        <v>40000000</v>
      </c>
      <c r="E28" s="17">
        <f>D28/'Dashboard CEO'!C$28</f>
        <v>2.197802197802198E-2</v>
      </c>
      <c r="F28" s="14">
        <f>10000000*'Dashboard CEO'!D14</f>
        <v>80000000</v>
      </c>
      <c r="G28" s="17">
        <f>F28/'Dashboard CEO'!D$28</f>
        <v>2.2598870056497175E-2</v>
      </c>
      <c r="H28" s="14">
        <f>10000000*'Dashboard CEO'!E14</f>
        <v>120000000</v>
      </c>
    </row>
    <row r="29" spans="1:8" x14ac:dyDescent="0.2">
      <c r="B29" s="8" t="s">
        <v>216</v>
      </c>
      <c r="C29" s="8" t="s">
        <v>217</v>
      </c>
      <c r="D29" s="14">
        <f>18000000*'Dashboard CEO'!C13</f>
        <v>36000000</v>
      </c>
      <c r="E29" s="17">
        <f>D29/'Dashboard CEO'!C$28</f>
        <v>1.9780219780219779E-2</v>
      </c>
      <c r="F29" s="14">
        <f>18000000*'Dashboard CEO'!D13</f>
        <v>72000000</v>
      </c>
      <c r="G29" s="17">
        <f>F29/'Dashboard CEO'!D$28</f>
        <v>2.0338983050847456E-2</v>
      </c>
      <c r="H29" s="14">
        <f>18000000*'Dashboard CEO'!E13</f>
        <v>108000000</v>
      </c>
    </row>
    <row r="30" spans="1:8" x14ac:dyDescent="0.2">
      <c r="B30" s="8" t="s">
        <v>218</v>
      </c>
      <c r="C30" s="8" t="s">
        <v>219</v>
      </c>
      <c r="D30" s="14">
        <f>30000000*'Dashboard CEO'!C12</f>
        <v>30000000</v>
      </c>
      <c r="E30" s="17">
        <f>D30/'Dashboard CEO'!C$28</f>
        <v>1.6483516483516484E-2</v>
      </c>
      <c r="F30" s="14">
        <f>30000000*'Dashboard CEO'!D12</f>
        <v>30000000</v>
      </c>
      <c r="G30" s="17">
        <f>F30/'Dashboard CEO'!D$28</f>
        <v>8.4745762711864406E-3</v>
      </c>
      <c r="H30" s="14">
        <f>30000000*'Dashboard CEO'!E12</f>
        <v>30000000</v>
      </c>
    </row>
    <row r="32" spans="1:8" x14ac:dyDescent="0.2">
      <c r="B32" s="21" t="s">
        <v>220</v>
      </c>
      <c r="D32" s="16">
        <f>SUM(D27:D30)</f>
        <v>146000000</v>
      </c>
      <c r="E32" s="25">
        <f>D32/'Dashboard CEO'!C28</f>
        <v>8.0219780219780226E-2</v>
      </c>
      <c r="F32" s="16">
        <f>SUM(F27:F30)</f>
        <v>262000000</v>
      </c>
      <c r="G32" s="25">
        <f>F32/'Dashboard CEO'!D28</f>
        <v>7.4011299435028252E-2</v>
      </c>
      <c r="H32" s="16">
        <f>SUM(H27:H30)</f>
        <v>378000000</v>
      </c>
    </row>
    <row r="34" spans="1:8" ht="15" customHeight="1" x14ac:dyDescent="0.2">
      <c r="A34" s="5" t="s">
        <v>221</v>
      </c>
      <c r="B34" s="5"/>
      <c r="C34" s="5"/>
      <c r="D34" s="5"/>
      <c r="E34" s="5"/>
      <c r="F34" s="5"/>
      <c r="G34" s="5"/>
      <c r="H34" s="5"/>
    </row>
    <row r="35" spans="1:8" x14ac:dyDescent="0.2">
      <c r="B35" s="8" t="s">
        <v>222</v>
      </c>
      <c r="C35" s="8" t="s">
        <v>223</v>
      </c>
      <c r="D35" s="14">
        <f>0.1*'Dashboard CEO'!C13*'Dashboard CEO'!C20*'Dashboard CEO'!$C$5</f>
        <v>20000000</v>
      </c>
      <c r="E35" s="17">
        <f>D35/'Dashboard CEO'!C$28</f>
        <v>1.098901098901099E-2</v>
      </c>
      <c r="F35" s="14">
        <f>0.1*'Dashboard CEO'!D13*'Dashboard CEO'!D20*'Dashboard CEO'!$C$5</f>
        <v>40000000</v>
      </c>
      <c r="G35" s="17">
        <f>F35/'Dashboard CEO'!D$28</f>
        <v>1.1299435028248588E-2</v>
      </c>
      <c r="H35" s="14">
        <f>0.1*'Dashboard CEO'!E13*'Dashboard CEO'!E20*'Dashboard CEO'!$C$5</f>
        <v>120000000.00000001</v>
      </c>
    </row>
    <row r="36" spans="1:8" x14ac:dyDescent="0.2">
      <c r="B36" s="8" t="s">
        <v>224</v>
      </c>
      <c r="C36" s="8" t="s">
        <v>225</v>
      </c>
      <c r="D36" s="14">
        <f>0.1*'Dashboard CEO'!C14*'Dashboard CEO'!C21*'Dashboard CEO'!$C$5</f>
        <v>40000000</v>
      </c>
      <c r="E36" s="17">
        <f>D36/'Dashboard CEO'!C$28</f>
        <v>2.197802197802198E-2</v>
      </c>
      <c r="F36" s="14">
        <f>0.1*'Dashboard CEO'!D14*'Dashboard CEO'!D21*'Dashboard CEO'!$C$5</f>
        <v>80000000</v>
      </c>
      <c r="G36" s="17">
        <f>F36/'Dashboard CEO'!D$28</f>
        <v>2.2598870056497175E-2</v>
      </c>
      <c r="H36" s="14">
        <f>0.1*'Dashboard CEO'!E14*'Dashboard CEO'!E21*'Dashboard CEO'!$C$5</f>
        <v>240000000.00000003</v>
      </c>
    </row>
    <row r="37" spans="1:8" x14ac:dyDescent="0.2">
      <c r="B37" s="8" t="s">
        <v>226</v>
      </c>
      <c r="C37" s="8" t="s">
        <v>227</v>
      </c>
      <c r="D37" s="14">
        <f>0.1*'Dashboard CEO'!C15*'Dashboard CEO'!C22*'Dashboard CEO'!$C$5</f>
        <v>80000000</v>
      </c>
      <c r="E37" s="17">
        <f>D37/'Dashboard CEO'!C$28</f>
        <v>4.3956043956043959E-2</v>
      </c>
      <c r="F37" s="14">
        <f>0.1*'Dashboard CEO'!D15*'Dashboard CEO'!D22*'Dashboard CEO'!$C$5</f>
        <v>160000000</v>
      </c>
      <c r="G37" s="17">
        <f>F37/'Dashboard CEO'!D$28</f>
        <v>4.519774011299435E-2</v>
      </c>
      <c r="H37" s="14">
        <f>0.1*'Dashboard CEO'!E15*'Dashboard CEO'!E22*'Dashboard CEO'!$C$5</f>
        <v>480000000.00000006</v>
      </c>
    </row>
    <row r="38" spans="1:8" x14ac:dyDescent="0.2">
      <c r="B38" s="8" t="s">
        <v>228</v>
      </c>
      <c r="C38" s="8" t="s">
        <v>229</v>
      </c>
      <c r="D38" s="14">
        <f>0.05*'Dashboard CEO'!C14*'Dashboard CEO'!C21*'Dashboard CEO'!$C$5</f>
        <v>20000000</v>
      </c>
      <c r="E38" s="17">
        <f>D38/'Dashboard CEO'!C$28</f>
        <v>1.098901098901099E-2</v>
      </c>
      <c r="F38" s="14">
        <f>0.05*'Dashboard CEO'!D14*'Dashboard CEO'!D21*'Dashboard CEO'!$C$5</f>
        <v>40000000</v>
      </c>
      <c r="G38" s="17">
        <f>F38/'Dashboard CEO'!D$28</f>
        <v>1.1299435028248588E-2</v>
      </c>
      <c r="H38" s="14">
        <f>0.05*'Dashboard CEO'!E14*'Dashboard CEO'!E21*'Dashboard CEO'!$C$5</f>
        <v>120000000.00000001</v>
      </c>
    </row>
    <row r="39" spans="1:8" x14ac:dyDescent="0.2">
      <c r="B39" s="8" t="s">
        <v>230</v>
      </c>
      <c r="C39" s="8" t="s">
        <v>231</v>
      </c>
      <c r="D39" s="14">
        <f>0.05*'Dashboard CEO'!C15*'Dashboard CEO'!C22*'Dashboard CEO'!$C$5</f>
        <v>40000000</v>
      </c>
      <c r="E39" s="17">
        <f>D39/'Dashboard CEO'!C$28</f>
        <v>2.197802197802198E-2</v>
      </c>
      <c r="F39" s="14">
        <f>0.05*'Dashboard CEO'!D15*'Dashboard CEO'!D22*'Dashboard CEO'!$C$5</f>
        <v>80000000</v>
      </c>
      <c r="G39" s="17">
        <f>F39/'Dashboard CEO'!D$28</f>
        <v>2.2598870056497175E-2</v>
      </c>
      <c r="H39" s="14">
        <f>0.05*'Dashboard CEO'!E15*'Dashboard CEO'!E22*'Dashboard CEO'!$C$5</f>
        <v>240000000.00000003</v>
      </c>
    </row>
    <row r="40" spans="1:8" x14ac:dyDescent="0.2">
      <c r="B40" s="8" t="s">
        <v>232</v>
      </c>
      <c r="C40" s="8" t="s">
        <v>233</v>
      </c>
      <c r="D40" s="14">
        <f>0.03*'Dashboard CEO'!C15*'Dashboard CEO'!C22*'Dashboard CEO'!$C$5</f>
        <v>24000000</v>
      </c>
      <c r="E40" s="17">
        <f>D40/'Dashboard CEO'!C$28</f>
        <v>1.3186813186813187E-2</v>
      </c>
      <c r="F40" s="14">
        <f>0.03*'Dashboard CEO'!D15*'Dashboard CEO'!D22*'Dashboard CEO'!$C$5</f>
        <v>48000000</v>
      </c>
      <c r="G40" s="17">
        <f>F40/'Dashboard CEO'!D$28</f>
        <v>1.3559322033898305E-2</v>
      </c>
      <c r="H40" s="14">
        <f>0.03*'Dashboard CEO'!E15*'Dashboard CEO'!E22*'Dashboard CEO'!$C$5</f>
        <v>144000000</v>
      </c>
    </row>
    <row r="41" spans="1:8" ht="30" x14ac:dyDescent="0.2">
      <c r="B41" s="8" t="s">
        <v>234</v>
      </c>
      <c r="C41" s="8" t="s">
        <v>235</v>
      </c>
      <c r="D41" s="14">
        <v>0</v>
      </c>
      <c r="F41" s="14">
        <v>0</v>
      </c>
      <c r="H41" s="14">
        <v>0</v>
      </c>
    </row>
    <row r="44" spans="1:8" x14ac:dyDescent="0.2">
      <c r="B44" s="21" t="s">
        <v>236</v>
      </c>
      <c r="D44" s="16">
        <f>SUM(D35:D41)</f>
        <v>224000000</v>
      </c>
      <c r="E44" s="25">
        <f>D44/'Dashboard CEO'!C28</f>
        <v>0.12307692307692308</v>
      </c>
      <c r="F44" s="16">
        <f>SUM(F35:F41)</f>
        <v>448000000</v>
      </c>
      <c r="G44" s="25">
        <f>F44/'Dashboard CEO'!D28</f>
        <v>0.12655367231638417</v>
      </c>
      <c r="H44" s="16">
        <f>SUM(H35:H41)</f>
        <v>1344000000.0000002</v>
      </c>
    </row>
    <row r="46" spans="1:8" ht="14.25" customHeight="1" x14ac:dyDescent="0.2">
      <c r="A46" s="5" t="s">
        <v>38</v>
      </c>
      <c r="B46" s="5"/>
      <c r="C46" s="5"/>
      <c r="D46" s="5"/>
      <c r="E46" s="5"/>
      <c r="F46" s="5"/>
      <c r="G46" s="5"/>
      <c r="H46" s="5"/>
    </row>
    <row r="47" spans="1:8" x14ac:dyDescent="0.2">
      <c r="B47" s="21" t="s">
        <v>237</v>
      </c>
      <c r="D47" s="16">
        <f>D24+D32+D44</f>
        <v>822000000</v>
      </c>
      <c r="E47" s="25">
        <f>D47/'Dashboard CEO'!C28</f>
        <v>0.45164835164835165</v>
      </c>
      <c r="F47" s="16">
        <f>F24+F32+F44</f>
        <v>1576000000</v>
      </c>
      <c r="G47" s="25">
        <f>F47/'Dashboard CEO'!D28</f>
        <v>0.44519774011299434</v>
      </c>
      <c r="H47" s="16">
        <f>H24+H32+H44</f>
        <v>4474000000</v>
      </c>
    </row>
  </sheetData>
  <mergeCells count="5">
    <mergeCell ref="A1:H1"/>
    <mergeCell ref="A5:H5"/>
    <mergeCell ref="A26:H26"/>
    <mergeCell ref="A34:H34"/>
    <mergeCell ref="A46:H4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CEO</vt:lpstr>
      <vt:lpstr>Công thức V13.2.1</vt:lpstr>
      <vt:lpstr>3 Mô hình cây</vt:lpstr>
      <vt:lpstr>Thu nhập per role</vt:lpstr>
      <vt:lpstr>Chi phí hệ thống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2026-04-16T10:29:45Z</dcterms:created>
  <dcterms:modified xsi:type="dcterms:W3CDTF">2026-04-16T11:00:59Z</dcterms:modified>
  <dc:language>en-US</dc:language>
</cp:coreProperties>
</file>